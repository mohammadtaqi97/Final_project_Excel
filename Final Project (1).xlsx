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hidePivotFieldList="1" defaultThemeVersion="166925"/>
  <xr:revisionPtr revIDLastSave="0" documentId="8_{78BB570B-BFB5-420F-9F6A-7361EABF1D36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Dataset" sheetId="1" r:id="rId1"/>
    <sheet name="Analysis &amp; Calculation" sheetId="3" r:id="rId2"/>
    <sheet name="Data Visualisation" sheetId="2" r:id="rId3"/>
  </sheets>
  <calcPr calcId="191028"/>
  <pivotCaches>
    <pivotCache cacheId="30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84" i="3" l="1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A83" i="3" a="1"/>
  <c r="A83" i="3"/>
  <c r="AT3" i="3" a="1"/>
  <c r="AT3" i="3"/>
  <c r="AE3" i="3" a="1"/>
  <c r="AE3" i="3"/>
  <c r="P3" i="3" a="1"/>
  <c r="P3" i="3"/>
  <c r="A3" i="3" a="1"/>
  <c r="A3" i="3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" i="1"/>
  <c r="F83" i="3" l="1"/>
  <c r="D8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<sst xmlns="http://schemas.openxmlformats.org/spreadsheetml/2006/main" count="2663" uniqueCount="442">
  <si>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</si>
  <si>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</si>
  <si>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</si>
  <si>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</si>
  <si>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</si>
  <si>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</si>
  <si>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</si>
  <si>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</si>
  <si>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</si>
  <si>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</si>
  <si>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</si>
  <si>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</si>
  <si>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</si>
  <si>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</si>
  <si>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Current date</t>
  </si>
  <si>
    <t>Current timestamp</t>
  </si>
  <si>
    <t>Customer tenure in years</t>
  </si>
  <si>
    <t>Customer Tenure in month</t>
  </si>
  <si>
    <t>End of transaction Month</t>
  </si>
  <si>
    <t>Product Abbrevation</t>
  </si>
  <si>
    <t>TRX0155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</si>
  <si>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</si>
  <si>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</si>
  <si>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</si>
  <si>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</si>
  <si>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</si>
  <si>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</si>
  <si>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</si>
  <si>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</si>
  <si>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</si>
  <si>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</si>
  <si>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</si>
  <si>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</si>
  <si>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</si>
  <si>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</si>
  <si>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</si>
  <si>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</si>
  <si>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</si>
  <si>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</si>
  <si>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</si>
  <si>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</si>
  <si>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</si>
  <si>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</si>
  <si>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</si>
  <si>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</si>
  <si>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</si>
  <si>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</si>
  <si>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</si>
  <si>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</si>
  <si>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</si>
  <si>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</si>
  <si>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</si>
  <si>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</si>
  <si>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TRX0092</t>
  </si>
  <si>
    <t>CUST024</t>
  </si>
  <si>
    <t>Dorothy Nelson</t>
  </si>
  <si>
    <t>West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</si>
  <si>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</si>
  <si>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</si>
  <si>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</si>
  <si>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</si>
  <si>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</si>
  <si>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</si>
  <si>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</si>
  <si>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</si>
  <si>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</si>
  <si>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</si>
  <si>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</si>
  <si>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</si>
  <si>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East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</si>
  <si>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</si>
  <si>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</si>
  <si>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</si>
  <si>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</si>
  <si>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</si>
  <si>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</si>
  <si>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</si>
  <si>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</si>
  <si>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</si>
  <si>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</si>
  <si>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</si>
  <si>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</si>
  <si>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</si>
  <si>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</si>
  <si>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</si>
  <si>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</si>
  <si>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</si>
  <si>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</si>
  <si>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</si>
  <si>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</si>
  <si>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</si>
  <si>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</si>
  <si>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</si>
  <si>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</si>
  <si>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</si>
  <si>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</si>
  <si>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</si>
  <si>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</si>
  <si>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</si>
  <si>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</si>
  <si>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</si>
  <si>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</si>
  <si>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</si>
  <si>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</si>
  <si>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</si>
  <si>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</si>
  <si>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</si>
  <si>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</si>
  <si>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</si>
  <si>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</si>
  <si>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</si>
  <si>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</si>
  <si>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</si>
  <si>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</si>
  <si>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</si>
  <si>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</si>
  <si>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</si>
  <si>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</si>
  <si>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</si>
  <si>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</si>
  <si>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</si>
  <si>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</si>
  <si>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</si>
  <si>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</si>
  <si>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</si>
  <si>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</si>
  <si>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</si>
  <si>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</si>
  <si>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</si>
  <si>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</si>
  <si>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</si>
  <si>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</si>
  <si>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</si>
  <si>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</si>
  <si>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</si>
  <si>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</si>
  <si>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</si>
  <si>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</si>
  <si>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</si>
  <si>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</si>
  <si>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</si>
  <si>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</si>
  <si>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</si>
  <si>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</si>
  <si>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</si>
  <si>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</si>
  <si>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</si>
  <si>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</si>
  <si>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</si>
  <si>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</si>
  <si>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</si>
  <si>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</si>
  <si>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</si>
  <si>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</si>
  <si>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</si>
  <si>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</si>
  <si>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</si>
  <si>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</si>
  <si>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</si>
  <si>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</si>
  <si>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</si>
  <si>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</si>
  <si>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</si>
  <si>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</si>
  <si>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</si>
  <si>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</si>
  <si>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</si>
  <si>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</si>
  <si>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</si>
  <si>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</si>
  <si>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</si>
  <si>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</si>
  <si>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</si>
  <si>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</si>
  <si>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</si>
  <si>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</si>
  <si>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</si>
  <si>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</si>
  <si>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</si>
  <si>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</si>
  <si>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</si>
  <si>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</si>
  <si>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</si>
  <si>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</si>
  <si>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</si>
  <si>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</si>
  <si>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</si>
  <si>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</si>
  <si>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</si>
  <si>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</si>
  <si>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</si>
  <si>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</si>
  <si>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</si>
  <si>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</si>
  <si>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</si>
  <si>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</si>
  <si>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</si>
  <si>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</si>
  <si>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</si>
  <si>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</si>
  <si>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</si>
  <si>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</si>
  <si>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</si>
  <si>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</si>
  <si>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</si>
  <si>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</si>
  <si>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</si>
  <si>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</si>
  <si>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</si>
  <si>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</si>
  <si>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</si>
  <si>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</si>
  <si>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</si>
  <si>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</si>
  <si>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</si>
  <si>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</si>
  <si>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</si>
  <si>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</si>
  <si>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</si>
  <si>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</si>
  <si>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</si>
  <si>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</si>
  <si>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</si>
  <si>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</si>
  <si>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</si>
  <si>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</si>
  <si>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</si>
  <si>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</si>
  <si>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</si>
  <si>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</si>
  <si>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</si>
  <si>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</si>
  <si>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</si>
  <si>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</si>
  <si>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</si>
  <si>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</si>
  <si>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</si>
  <si>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</si>
  <si>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</si>
  <si>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</si>
  <si>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</si>
  <si>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</si>
  <si>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</si>
  <si>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</si>
  <si>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</si>
  <si>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</si>
  <si>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</si>
  <si>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</si>
  <si>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</si>
  <si>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</si>
  <si>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</si>
  <si>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</si>
  <si>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</si>
  <si>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</si>
  <si>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</si>
  <si>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</si>
  <si>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</si>
  <si>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</si>
  <si>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</si>
  <si>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</si>
  <si>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</si>
  <si>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</si>
  <si>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</si>
  <si>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</si>
  <si>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</si>
  <si>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</si>
  <si>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</si>
  <si>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</si>
  <si>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</si>
  <si>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</si>
  <si>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</si>
  <si>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</si>
  <si>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</si>
  <si>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</si>
  <si>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</si>
  <si>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</si>
  <si>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</si>
  <si>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</si>
  <si>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</si>
  <si>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</si>
  <si>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</si>
  <si>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</si>
  <si>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</si>
  <si>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</si>
  <si>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</si>
  <si>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</si>
  <si>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</si>
  <si>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</si>
  <si>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</si>
  <si>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</si>
  <si>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</si>
  <si>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</si>
  <si>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</si>
  <si>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</si>
  <si>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</si>
  <si>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</si>
  <si>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</si>
  <si>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</si>
  <si>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</si>
  <si>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</si>
  <si>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</si>
  <si>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</si>
  <si>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</si>
  <si>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</si>
  <si>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</si>
  <si>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</si>
  <si>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</si>
  <si>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</si>
  <si>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</si>
  <si>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</si>
  <si>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</si>
  <si>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</si>
  <si>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</si>
  <si>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</si>
  <si>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</si>
  <si>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</si>
  <si>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</si>
  <si>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</si>
  <si>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</si>
  <si>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</si>
  <si>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</si>
  <si>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</si>
  <si>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</si>
  <si>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</si>
  <si>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</si>
  <si>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</si>
  <si>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</si>
  <si>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</si>
  <si>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</si>
  <si>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</si>
  <si>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</si>
  <si>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</si>
  <si>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</si>
  <si>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</si>
  <si>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</si>
  <si>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</si>
  <si>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</si>
  <si>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</si>
  <si>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</si>
  <si>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</si>
  <si>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</si>
  <si>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</si>
  <si>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</si>
  <si>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</si>
  <si>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</si>
  <si>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</si>
  <si>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</si>
  <si>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</si>
  <si>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</si>
  <si>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</si>
  <si>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</si>
  <si>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</si>
  <si>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</si>
  <si>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</si>
  <si>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</si>
  <si>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</si>
  <si>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</si>
  <si>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</si>
  <si>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</si>
  <si>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</si>
  <si>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</si>
  <si>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</si>
  <si>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</si>
  <si>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</si>
  <si>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</si>
  <si>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</si>
  <si>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</si>
  <si>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</si>
  <si>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</si>
  <si>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</si>
  <si>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</si>
  <si>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</si>
  <si>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</si>
  <si>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</si>
  <si>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</si>
  <si>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</si>
  <si>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</si>
  <si>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</si>
  <si>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</si>
  <si>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</si>
  <si>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</si>
  <si>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</si>
  <si>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</si>
  <si>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</si>
  <si>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</si>
  <si>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</si>
  <si>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</si>
  <si>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</si>
  <si>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</si>
  <si>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</si>
  <si>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</si>
  <si>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</si>
  <si>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</si>
  <si>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</si>
  <si>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</si>
  <si>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</si>
  <si>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</si>
  <si>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</si>
  <si>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</si>
  <si>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</si>
  <si>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</si>
  <si>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</si>
  <si>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</si>
  <si>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</si>
  <si>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</si>
  <si>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Filter transaction for "Electronics" category and "North" region</t>
  </si>
  <si>
    <t>Filter  transaction Greater than 1500</t>
  </si>
  <si>
    <t>Filtering  payment method == "Cash"</t>
  </si>
  <si>
    <t>Filtering Payment method== Credit Card and Customer Segment == Premium</t>
  </si>
  <si>
    <t>Unique Customer</t>
  </si>
  <si>
    <t>Total Spend</t>
  </si>
  <si>
    <t>Transaction Count</t>
  </si>
  <si>
    <t>Average Order Value</t>
  </si>
  <si>
    <t>Label high value customer</t>
  </si>
  <si>
    <t>Category wise total customer</t>
  </si>
  <si>
    <t>Category wise total quantity</t>
  </si>
  <si>
    <t>Category wise total amount and their payment method</t>
  </si>
  <si>
    <t>Region wise Payment method,category and ttheir total amount</t>
  </si>
  <si>
    <t>Regioin wise product name,category and their total amount</t>
  </si>
  <si>
    <t>Count of Customer_ID</t>
  </si>
  <si>
    <t>Sum of Quantity</t>
  </si>
  <si>
    <t>Sum of Total_Amount</t>
  </si>
  <si>
    <t>Central Total</t>
  </si>
  <si>
    <t>Grand Total</t>
  </si>
  <si>
    <t>Cash Total</t>
  </si>
  <si>
    <t>East Total</t>
  </si>
  <si>
    <t>North Total</t>
  </si>
  <si>
    <t>Credit Card Total</t>
  </si>
  <si>
    <t>South Total</t>
  </si>
  <si>
    <t>West Total</t>
  </si>
  <si>
    <t>Blender Total</t>
  </si>
  <si>
    <t>Debit Card Total</t>
  </si>
  <si>
    <t>PayPal Total</t>
  </si>
  <si>
    <t>Bookshelf Total</t>
  </si>
  <si>
    <t>Coffee Maker Total</t>
  </si>
  <si>
    <t>Desk Total</t>
  </si>
  <si>
    <t>Headphones Total</t>
  </si>
  <si>
    <t>Keyboard Total</t>
  </si>
  <si>
    <t>Laptop Total</t>
  </si>
  <si>
    <t>Monitor Total</t>
  </si>
  <si>
    <t>Office Chair Total</t>
  </si>
  <si>
    <t>Smartphone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</si>
</sst>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[$₹-447]* #,##0.0_ ;_ [$₹-447]* \-#,##0.0_ ;_ [$₹-447]* &quot;-&quot;?_ ;_ @_ 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readingOrder="1"/>
    </xf>
    <xf numFmtId="14" fontId="1" fillId="0" borderId="1" xfId="0" applyNumberFormat="1" applyFont="1" applyBorder="1" applyAlignment="1">
      <alignment horizontal="center" readingOrder="1"/>
    </xf>
    <xf numFmtId="165" fontId="1" fillId="0" borderId="1" xfId="0" applyNumberFormat="1" applyFont="1" applyBorder="1" applyAlignment="1">
      <alignment horizontal="center" readingOrder="1"/>
    </xf>
    <xf numFmtId="0" fontId="0" fillId="0" borderId="1" xfId="0" applyBorder="1" applyAlignment="1">
      <alignment horizontal="center"/>
    </xf>
    <xf numFmtId="0" fontId="0" fillId="0" borderId="1" xfId="0" applyBorder="1"/>
    <xf numFmtId="165" fontId="1" fillId="0" borderId="1" xfId="0" applyNumberFormat="1" applyFont="1" applyFill="1" applyBorder="1" applyAlignment="1">
      <alignment horizontal="center" readingOrder="1"/>
    </xf>
    <xf numFmtId="0" fontId="3" fillId="0" borderId="1" xfId="0" applyFont="1" applyBorder="1" applyAlignment="1">
      <alignment horizontal="center"/>
    </xf>
    <xf numFmtId="22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readingOrder="1"/>
    </xf>
    <xf numFmtId="14" fontId="2" fillId="0" borderId="1" xfId="0" applyNumberFormat="1" applyFont="1" applyBorder="1" applyAlignment="1">
      <alignment horizontal="center" readingOrder="1"/>
    </xf>
    <xf numFmtId="165" fontId="2" fillId="0" borderId="1" xfId="0" applyNumberFormat="1" applyFont="1" applyBorder="1" applyAlignment="1">
      <alignment horizontal="center" readingOrder="1"/>
    </xf>
    <xf numFmtId="14" fontId="0" fillId="0" borderId="1" xfId="0" applyNumberFormat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1" xfId="0" pivotButton="1" applyBorder="1"/>
    <xf numFmtId="0" fontId="0" fillId="0" borderId="1" xfId="0" applyNumberFormat="1" applyBorder="1"/>
    <xf numFmtId="165" fontId="0" fillId="0" borderId="1" xfId="0" applyNumberFormat="1" applyBorder="1"/>
    <xf numFmtId="0" fontId="4" fillId="0" borderId="1" xfId="0" applyFont="1" applyFill="1" applyBorder="1" applyAlignment="1">
      <alignment horizontal="center"/>
    </xf>
  </cellXfs>
  <cellStyles count="1">
    <cellStyle name="Normal" xfId="0" builtinId="0"/>
  </cellStyles>
  <dxfs count="1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Project.xlsx]Data Visualisation!PivotTable1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'Data Visualisation'!$B$3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'Data Visualisation'!$A$4:$A$7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'Data Visualisation'!$B$4:$B$7</c:f>
              <c:numCache>
                <c:formatCode>General</c:formatCode>
                <c:ptCount val="3"/>
                <c:pt idx="0">
                  <c:v>43</c:v>
                </c:pt>
                <c:pt idx="1">
                  <c:v>131</c:v>
                </c:pt>
                <c:pt idx="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B8-487E-A6C0-9F18B39AE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4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Project.xlsx]Data Visualisation!PivotTable2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'Quantity' by 'Category'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Visualisation'!$G$3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Visualisation'!$F$4:$F$7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'Data Visualisation'!$G$4:$G$7</c:f>
              <c:numCache>
                <c:formatCode>General</c:formatCode>
                <c:ptCount val="3"/>
                <c:pt idx="0">
                  <c:v>126</c:v>
                </c:pt>
                <c:pt idx="1">
                  <c:v>395</c:v>
                </c:pt>
                <c:pt idx="2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3B-4E15-844F-A853D2F90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8896903"/>
        <c:axId val="98941447"/>
      </c:barChart>
      <c:catAx>
        <c:axId val="988969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41447"/>
        <c:crosses val="autoZero"/>
        <c:auto val="1"/>
        <c:lblAlgn val="ctr"/>
        <c:lblOffset val="100"/>
        <c:noMultiLvlLbl val="0"/>
      </c:catAx>
      <c:valAx>
        <c:axId val="98941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96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Project.xlsx]Data Visualisation!PivotTable4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'Total_Amount' by 'Payment_Method' and 'Category'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Visualisation'!$M$3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'Data Visualisation'!$K$4:$L$20</c:f>
              <c:multiLvlStrCache>
                <c:ptCount val="12"/>
                <c:lvl>
                  <c:pt idx="0">
                    <c:v>Appliances</c:v>
                  </c:pt>
                  <c:pt idx="1">
                    <c:v>Electronics</c:v>
                  </c:pt>
                  <c:pt idx="2">
                    <c:v>Furniture</c:v>
                  </c:pt>
                  <c:pt idx="3">
                    <c:v>Appliances</c:v>
                  </c:pt>
                  <c:pt idx="4">
                    <c:v>Electronics</c:v>
                  </c:pt>
                  <c:pt idx="5">
                    <c:v>Furniture</c:v>
                  </c:pt>
                  <c:pt idx="6">
                    <c:v>Appliances</c:v>
                  </c:pt>
                  <c:pt idx="7">
                    <c:v>Electronics</c:v>
                  </c:pt>
                  <c:pt idx="8">
                    <c:v>Furniture</c:v>
                  </c:pt>
                  <c:pt idx="9">
                    <c:v>Appliances</c:v>
                  </c:pt>
                  <c:pt idx="10">
                    <c:v>Electronics</c:v>
                  </c:pt>
                  <c:pt idx="11">
                    <c:v>Furniture</c:v>
                  </c:pt>
                </c:lvl>
                <c:lvl>
                  <c:pt idx="0">
                    <c:v>Cash</c:v>
                  </c:pt>
                  <c:pt idx="3">
                    <c:v>Credit Card</c:v>
                  </c:pt>
                  <c:pt idx="6">
                    <c:v>Debit Card</c:v>
                  </c:pt>
                  <c:pt idx="9">
                    <c:v>PayPal</c:v>
                  </c:pt>
                </c:lvl>
              </c:multiLvlStrCache>
            </c:multiLvlStrRef>
          </c:cat>
          <c:val>
            <c:numRef>
              <c:f>'Data Visualisation'!$M$4:$M$20</c:f>
              <c:numCache>
                <c:formatCode>_ [$₹-447]* #,##0.0_ ;_ [$₹-447]* \-#,##0.0_ ;_ [$₹-447]* "-"?_ ;_ @_ </c:formatCode>
                <c:ptCount val="12"/>
                <c:pt idx="0">
                  <c:v>3239.5099999999993</c:v>
                </c:pt>
                <c:pt idx="1">
                  <c:v>35889.14</c:v>
                </c:pt>
                <c:pt idx="2">
                  <c:v>18299.139999999996</c:v>
                </c:pt>
                <c:pt idx="3">
                  <c:v>1419.79</c:v>
                </c:pt>
                <c:pt idx="4">
                  <c:v>45728.800000000003</c:v>
                </c:pt>
                <c:pt idx="5">
                  <c:v>14299.369999999999</c:v>
                </c:pt>
                <c:pt idx="6">
                  <c:v>2699.5899999999997</c:v>
                </c:pt>
                <c:pt idx="7">
                  <c:v>40519.150000000009</c:v>
                </c:pt>
                <c:pt idx="8">
                  <c:v>8899.57</c:v>
                </c:pt>
                <c:pt idx="9">
                  <c:v>979.84999999999991</c:v>
                </c:pt>
                <c:pt idx="10">
                  <c:v>49618.96</c:v>
                </c:pt>
                <c:pt idx="11">
                  <c:v>7599.6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34-44A6-B0CB-978503EB6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905448456"/>
        <c:axId val="1908605448"/>
      </c:barChart>
      <c:catAx>
        <c:axId val="1905448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605448"/>
        <c:crosses val="autoZero"/>
        <c:auto val="1"/>
        <c:lblAlgn val="ctr"/>
        <c:lblOffset val="100"/>
        <c:noMultiLvlLbl val="0"/>
      </c:catAx>
      <c:valAx>
        <c:axId val="1908605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47]* #,##0.0_ ;_ [$₹-447]* \-#,##0.0_ ;_ [$₹-447]* &quot;-&quot;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44845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Project.xlsx]Data Visualisation!PivotTable9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'Data Visualisation'!$Z$3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'Data Visualisation'!$W$4:$Y$114</c:f>
              <c:multiLvlStrCache>
                <c:ptCount val="50"/>
                <c:lvl>
                  <c:pt idx="0">
                    <c:v>Appliances</c:v>
                  </c:pt>
                  <c:pt idx="1">
                    <c:v>Appliances</c:v>
                  </c:pt>
                  <c:pt idx="2">
                    <c:v>Appliances</c:v>
                  </c:pt>
                  <c:pt idx="3">
                    <c:v>Appliances</c:v>
                  </c:pt>
                  <c:pt idx="4">
                    <c:v>Appliances</c:v>
                  </c:pt>
                  <c:pt idx="5">
                    <c:v>Furniture</c:v>
                  </c:pt>
                  <c:pt idx="6">
                    <c:v>Furniture</c:v>
                  </c:pt>
                  <c:pt idx="7">
                    <c:v>Furniture</c:v>
                  </c:pt>
                  <c:pt idx="8">
                    <c:v>Furniture</c:v>
                  </c:pt>
                  <c:pt idx="9">
                    <c:v>Furniture</c:v>
                  </c:pt>
                  <c:pt idx="10">
                    <c:v>Appliances</c:v>
                  </c:pt>
                  <c:pt idx="11">
                    <c:v>Appliances</c:v>
                  </c:pt>
                  <c:pt idx="12">
                    <c:v>Appliances</c:v>
                  </c:pt>
                  <c:pt idx="13">
                    <c:v>Appliances</c:v>
                  </c:pt>
                  <c:pt idx="14">
                    <c:v>Appliances</c:v>
                  </c:pt>
                  <c:pt idx="15">
                    <c:v>Furniture</c:v>
                  </c:pt>
                  <c:pt idx="16">
                    <c:v>Furniture</c:v>
                  </c:pt>
                  <c:pt idx="17">
                    <c:v>Furniture</c:v>
                  </c:pt>
                  <c:pt idx="18">
                    <c:v>Furniture</c:v>
                  </c:pt>
                  <c:pt idx="19">
                    <c:v>Furniture</c:v>
                  </c:pt>
                  <c:pt idx="20">
                    <c:v>Electronics</c:v>
                  </c:pt>
                  <c:pt idx="21">
                    <c:v>Electronics</c:v>
                  </c:pt>
                  <c:pt idx="22">
                    <c:v>Electronics</c:v>
                  </c:pt>
                  <c:pt idx="23">
                    <c:v>Electronics</c:v>
                  </c:pt>
                  <c:pt idx="24">
                    <c:v>Electronics</c:v>
                  </c:pt>
                  <c:pt idx="25">
                    <c:v>Electronics</c:v>
                  </c:pt>
                  <c:pt idx="26">
                    <c:v>Electronics</c:v>
                  </c:pt>
                  <c:pt idx="27">
                    <c:v>Electronics</c:v>
                  </c:pt>
                  <c:pt idx="28">
                    <c:v>Electronics</c:v>
                  </c:pt>
                  <c:pt idx="29">
                    <c:v>Electronics</c:v>
                  </c:pt>
                  <c:pt idx="30">
                    <c:v>Electronics</c:v>
                  </c:pt>
                  <c:pt idx="31">
                    <c:v>Electronics</c:v>
                  </c:pt>
                  <c:pt idx="32">
                    <c:v>Electronics</c:v>
                  </c:pt>
                  <c:pt idx="33">
                    <c:v>Electronics</c:v>
                  </c:pt>
                  <c:pt idx="34">
                    <c:v>Electronics</c:v>
                  </c:pt>
                  <c:pt idx="35">
                    <c:v>Electronics</c:v>
                  </c:pt>
                  <c:pt idx="36">
                    <c:v>Electronics</c:v>
                  </c:pt>
                  <c:pt idx="37">
                    <c:v>Electronics</c:v>
                  </c:pt>
                  <c:pt idx="38">
                    <c:v>Electronics</c:v>
                  </c:pt>
                  <c:pt idx="39">
                    <c:v>Electronics</c:v>
                  </c:pt>
                  <c:pt idx="40">
                    <c:v>Furniture</c:v>
                  </c:pt>
                  <c:pt idx="41">
                    <c:v>Furniture</c:v>
                  </c:pt>
                  <c:pt idx="42">
                    <c:v>Furniture</c:v>
                  </c:pt>
                  <c:pt idx="43">
                    <c:v>Furniture</c:v>
                  </c:pt>
                  <c:pt idx="44">
                    <c:v>Furniture</c:v>
                  </c:pt>
                  <c:pt idx="45">
                    <c:v>Electronics</c:v>
                  </c:pt>
                  <c:pt idx="46">
                    <c:v>Electronics</c:v>
                  </c:pt>
                  <c:pt idx="47">
                    <c:v>Electronics</c:v>
                  </c:pt>
                  <c:pt idx="48">
                    <c:v>Electronics</c:v>
                  </c:pt>
                  <c:pt idx="49">
                    <c:v>Electronics</c:v>
                  </c:pt>
                </c:lvl>
                <c:lvl>
                  <c:pt idx="0">
                    <c:v>Central</c:v>
                  </c:pt>
                  <c:pt idx="1">
                    <c:v>East</c:v>
                  </c:pt>
                  <c:pt idx="2">
                    <c:v>North</c:v>
                  </c:pt>
                  <c:pt idx="3">
                    <c:v>South</c:v>
                  </c:pt>
                  <c:pt idx="4">
                    <c:v>West</c:v>
                  </c:pt>
                  <c:pt idx="5">
                    <c:v>Central</c:v>
                  </c:pt>
                  <c:pt idx="6">
                    <c:v>East</c:v>
                  </c:pt>
                  <c:pt idx="7">
                    <c:v>North</c:v>
                  </c:pt>
                  <c:pt idx="8">
                    <c:v>South</c:v>
                  </c:pt>
                  <c:pt idx="9">
                    <c:v>West</c:v>
                  </c:pt>
                  <c:pt idx="10">
                    <c:v>Central</c:v>
                  </c:pt>
                  <c:pt idx="11">
                    <c:v>East</c:v>
                  </c:pt>
                  <c:pt idx="12">
                    <c:v>North</c:v>
                  </c:pt>
                  <c:pt idx="13">
                    <c:v>South</c:v>
                  </c:pt>
                  <c:pt idx="14">
                    <c:v>West</c:v>
                  </c:pt>
                  <c:pt idx="15">
                    <c:v>Central</c:v>
                  </c:pt>
                  <c:pt idx="16">
                    <c:v>East</c:v>
                  </c:pt>
                  <c:pt idx="17">
                    <c:v>North</c:v>
                  </c:pt>
                  <c:pt idx="18">
                    <c:v>South</c:v>
                  </c:pt>
                  <c:pt idx="19">
                    <c:v>West</c:v>
                  </c:pt>
                  <c:pt idx="20">
                    <c:v>Central</c:v>
                  </c:pt>
                  <c:pt idx="21">
                    <c:v>East</c:v>
                  </c:pt>
                  <c:pt idx="22">
                    <c:v>North</c:v>
                  </c:pt>
                  <c:pt idx="23">
                    <c:v>South</c:v>
                  </c:pt>
                  <c:pt idx="24">
                    <c:v>West</c:v>
                  </c:pt>
                  <c:pt idx="25">
                    <c:v>Central</c:v>
                  </c:pt>
                  <c:pt idx="26">
                    <c:v>East</c:v>
                  </c:pt>
                  <c:pt idx="27">
                    <c:v>North</c:v>
                  </c:pt>
                  <c:pt idx="28">
                    <c:v>South</c:v>
                  </c:pt>
                  <c:pt idx="29">
                    <c:v>West</c:v>
                  </c:pt>
                  <c:pt idx="30">
                    <c:v>Central</c:v>
                  </c:pt>
                  <c:pt idx="31">
                    <c:v>East</c:v>
                  </c:pt>
                  <c:pt idx="32">
                    <c:v>North</c:v>
                  </c:pt>
                  <c:pt idx="33">
                    <c:v>South</c:v>
                  </c:pt>
                  <c:pt idx="34">
                    <c:v>West</c:v>
                  </c:pt>
                  <c:pt idx="35">
                    <c:v>Central</c:v>
                  </c:pt>
                  <c:pt idx="36">
                    <c:v>East</c:v>
                  </c:pt>
                  <c:pt idx="37">
                    <c:v>North</c:v>
                  </c:pt>
                  <c:pt idx="38">
                    <c:v>South</c:v>
                  </c:pt>
                  <c:pt idx="39">
                    <c:v>West</c:v>
                  </c:pt>
                  <c:pt idx="40">
                    <c:v>Central</c:v>
                  </c:pt>
                  <c:pt idx="41">
                    <c:v>East</c:v>
                  </c:pt>
                  <c:pt idx="42">
                    <c:v>North</c:v>
                  </c:pt>
                  <c:pt idx="43">
                    <c:v>South</c:v>
                  </c:pt>
                  <c:pt idx="44">
                    <c:v>West</c:v>
                  </c:pt>
                  <c:pt idx="45">
                    <c:v>Central</c:v>
                  </c:pt>
                  <c:pt idx="46">
                    <c:v>East</c:v>
                  </c:pt>
                  <c:pt idx="47">
                    <c:v>North</c:v>
                  </c:pt>
                  <c:pt idx="48">
                    <c:v>South</c:v>
                  </c:pt>
                  <c:pt idx="49">
                    <c:v>West</c:v>
                  </c:pt>
                </c:lvl>
                <c:lvl>
                  <c:pt idx="0">
                    <c:v>Blender</c:v>
                  </c:pt>
                  <c:pt idx="5">
                    <c:v>Bookshelf</c:v>
                  </c:pt>
                  <c:pt idx="10">
                    <c:v>Coffee Maker</c:v>
                  </c:pt>
                  <c:pt idx="15">
                    <c:v>Desk</c:v>
                  </c:pt>
                  <c:pt idx="20">
                    <c:v>Headphones</c:v>
                  </c:pt>
                  <c:pt idx="25">
                    <c:v>Keyboard</c:v>
                  </c:pt>
                  <c:pt idx="30">
                    <c:v>Laptop</c:v>
                  </c:pt>
                  <c:pt idx="35">
                    <c:v>Monitor</c:v>
                  </c:pt>
                  <c:pt idx="40">
                    <c:v>Office Chair</c:v>
                  </c:pt>
                  <c:pt idx="45">
                    <c:v>Smartphone</c:v>
                  </c:pt>
                </c:lvl>
              </c:multiLvlStrCache>
            </c:multiLvlStrRef>
          </c:cat>
          <c:val>
            <c:numRef>
              <c:f>'Data Visualisation'!$Z$4:$Z$114</c:f>
              <c:numCache>
                <c:formatCode>_ [$₹-447]* #,##0.0_ ;_ [$₹-447]* \-#,##0.0_ ;_ [$₹-447]* "-"?_ ;_ @_ </c:formatCode>
                <c:ptCount val="50"/>
                <c:pt idx="0">
                  <c:v>959.83999999999992</c:v>
                </c:pt>
                <c:pt idx="1">
                  <c:v>1199.8</c:v>
                </c:pt>
                <c:pt idx="2">
                  <c:v>479.92</c:v>
                </c:pt>
                <c:pt idx="3">
                  <c:v>779.87</c:v>
                </c:pt>
                <c:pt idx="4">
                  <c:v>1799.7</c:v>
                </c:pt>
                <c:pt idx="5">
                  <c:v>4799.68</c:v>
                </c:pt>
                <c:pt idx="6">
                  <c:v>1799.88</c:v>
                </c:pt>
                <c:pt idx="7">
                  <c:v>4949.67</c:v>
                </c:pt>
                <c:pt idx="8">
                  <c:v>1349.91</c:v>
                </c:pt>
                <c:pt idx="9">
                  <c:v>2399.84</c:v>
                </c:pt>
                <c:pt idx="10">
                  <c:v>1039.8699999999999</c:v>
                </c:pt>
                <c:pt idx="11">
                  <c:v>1039.8699999999999</c:v>
                </c:pt>
                <c:pt idx="12">
                  <c:v>639.91999999999996</c:v>
                </c:pt>
                <c:pt idx="13">
                  <c:v>319.95999999999998</c:v>
                </c:pt>
                <c:pt idx="14">
                  <c:v>79.989999999999995</c:v>
                </c:pt>
                <c:pt idx="15">
                  <c:v>5999.8</c:v>
                </c:pt>
                <c:pt idx="16">
                  <c:v>3599.88</c:v>
                </c:pt>
                <c:pt idx="17">
                  <c:v>2099.9300000000003</c:v>
                </c:pt>
                <c:pt idx="18">
                  <c:v>6599.7800000000007</c:v>
                </c:pt>
                <c:pt idx="19">
                  <c:v>5099.83</c:v>
                </c:pt>
                <c:pt idx="20">
                  <c:v>1199.92</c:v>
                </c:pt>
                <c:pt idx="21">
                  <c:v>1949.8700000000001</c:v>
                </c:pt>
                <c:pt idx="22">
                  <c:v>1949.8700000000001</c:v>
                </c:pt>
                <c:pt idx="23">
                  <c:v>899.94</c:v>
                </c:pt>
                <c:pt idx="24">
                  <c:v>1049.93</c:v>
                </c:pt>
                <c:pt idx="25">
                  <c:v>1439.8400000000001</c:v>
                </c:pt>
                <c:pt idx="26">
                  <c:v>1349.85</c:v>
                </c:pt>
                <c:pt idx="27">
                  <c:v>1889.79</c:v>
                </c:pt>
                <c:pt idx="28">
                  <c:v>2249.75</c:v>
                </c:pt>
                <c:pt idx="29">
                  <c:v>1079.8799999999999</c:v>
                </c:pt>
                <c:pt idx="30">
                  <c:v>7199.92</c:v>
                </c:pt>
                <c:pt idx="31">
                  <c:v>27899.690000000002</c:v>
                </c:pt>
                <c:pt idx="32">
                  <c:v>12599.859999999999</c:v>
                </c:pt>
                <c:pt idx="33">
                  <c:v>12599.86</c:v>
                </c:pt>
                <c:pt idx="34">
                  <c:v>7199.92</c:v>
                </c:pt>
                <c:pt idx="35">
                  <c:v>5249.79</c:v>
                </c:pt>
                <c:pt idx="36">
                  <c:v>4749.8100000000004</c:v>
                </c:pt>
                <c:pt idx="37">
                  <c:v>5999.7599999999993</c:v>
                </c:pt>
                <c:pt idx="38">
                  <c:v>3499.8599999999997</c:v>
                </c:pt>
                <c:pt idx="39">
                  <c:v>2499.9</c:v>
                </c:pt>
                <c:pt idx="40">
                  <c:v>3599.82</c:v>
                </c:pt>
                <c:pt idx="41">
                  <c:v>999.95</c:v>
                </c:pt>
                <c:pt idx="42">
                  <c:v>3399.83</c:v>
                </c:pt>
                <c:pt idx="43">
                  <c:v>1799.91</c:v>
                </c:pt>
                <c:pt idx="44">
                  <c:v>599.97</c:v>
                </c:pt>
                <c:pt idx="45">
                  <c:v>9799.8599999999988</c:v>
                </c:pt>
                <c:pt idx="46">
                  <c:v>14699.79</c:v>
                </c:pt>
                <c:pt idx="47">
                  <c:v>16799.759999999998</c:v>
                </c:pt>
                <c:pt idx="48">
                  <c:v>6299.91</c:v>
                </c:pt>
                <c:pt idx="49">
                  <c:v>19599.719999999998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E-48CE-8F57-0EA74B8EE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9372552"/>
        <c:axId val="1859471880"/>
      </c:lineChart>
      <c:catAx>
        <c:axId val="1859372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471880"/>
        <c:crosses val="autoZero"/>
        <c:auto val="1"/>
        <c:lblAlgn val="ctr"/>
        <c:lblOffset val="100"/>
        <c:noMultiLvlLbl val="0"/>
      </c:catAx>
      <c:valAx>
        <c:axId val="1859471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47]* #,##0.0_ ;_ [$₹-447]* \-#,##0.0_ ;_ [$₹-447]* &quot;-&quot;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372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47625</xdr:rowOff>
    </xdr:from>
    <xdr:to>
      <xdr:col>3</xdr:col>
      <xdr:colOff>1381125</xdr:colOff>
      <xdr:row>27</xdr:row>
      <xdr:rowOff>95250</xdr:rowOff>
    </xdr:to>
    <xdr:graphicFrame macro="">
      <xdr:nvGraphicFramePr>
        <xdr:cNvPr id="2" name="Chart 1" descr="Chart type: Doughnut. 'Customer_ID' by 'Category'&#10;&#10;Description automatically generated">
          <a:extLst>
            <a:ext uri="{FF2B5EF4-FFF2-40B4-BE49-F238E27FC236}">
              <a16:creationId xmlns:a16="http://schemas.microsoft.com/office/drawing/2014/main" id="{0C34F4FD-EB5F-2493-3946-10FED5AEDB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1390650</xdr:colOff>
      <xdr:row>7</xdr:row>
      <xdr:rowOff>76200</xdr:rowOff>
    </xdr:from>
    <xdr:to>
      <xdr:col>9</xdr:col>
      <xdr:colOff>733425</xdr:colOff>
      <xdr:row>26</xdr:row>
      <xdr:rowOff>66675</xdr:rowOff>
    </xdr:to>
    <xdr:graphicFrame macro="">
      <xdr:nvGraphicFramePr>
        <xdr:cNvPr id="4" name="Chart 3" descr="Chart type: Clustered Bar. 'Quantity' by 'Category'&#10;&#10;Description automatically generated">
          <a:extLst>
            <a:ext uri="{FF2B5EF4-FFF2-40B4-BE49-F238E27FC236}">
              <a16:creationId xmlns:a16="http://schemas.microsoft.com/office/drawing/2014/main" id="{A2872E45-8B86-08AA-1510-B670CC94DB11}"/>
            </a:ext>
            <a:ext uri="{147F2762-F138-4A5C-976F-8EAC2B608ADB}">
              <a16:predDERef xmlns:a16="http://schemas.microsoft.com/office/drawing/2014/main" pred="{0C34F4FD-EB5F-2493-3946-10FED5AEDB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723900</xdr:colOff>
      <xdr:row>20</xdr:row>
      <xdr:rowOff>47625</xdr:rowOff>
    </xdr:from>
    <xdr:to>
      <xdr:col>14</xdr:col>
      <xdr:colOff>552450</xdr:colOff>
      <xdr:row>40</xdr:row>
      <xdr:rowOff>180975</xdr:rowOff>
    </xdr:to>
    <xdr:graphicFrame macro="">
      <xdr:nvGraphicFramePr>
        <xdr:cNvPr id="5" name="Chart 4" descr="Chart type: Clustered Column. 'Total_Amount' by 'Payment_Method' and 'Category'&#10;&#10;Description automatically generated">
          <a:extLst>
            <a:ext uri="{FF2B5EF4-FFF2-40B4-BE49-F238E27FC236}">
              <a16:creationId xmlns:a16="http://schemas.microsoft.com/office/drawing/2014/main" id="{72B50697-D6F6-E012-DD00-0B076F6104AF}"/>
            </a:ext>
            <a:ext uri="{147F2762-F138-4A5C-976F-8EAC2B608ADB}">
              <a16:predDERef xmlns:a16="http://schemas.microsoft.com/office/drawing/2014/main" pred="{A2872E45-8B86-08AA-1510-B670CC94DB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19050</xdr:colOff>
      <xdr:row>1</xdr:row>
      <xdr:rowOff>9525</xdr:rowOff>
    </xdr:from>
    <xdr:to>
      <xdr:col>58</xdr:col>
      <xdr:colOff>104775</xdr:colOff>
      <xdr:row>56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C4CE86-4B8D-FFF3-E6B3-E16592453A8A}"/>
            </a:ext>
            <a:ext uri="{147F2762-F138-4A5C-976F-8EAC2B608ADB}">
              <a16:predDERef xmlns:a16="http://schemas.microsoft.com/office/drawing/2014/main" pred="{72B50697-D6F6-E012-DD00-0B076F610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2.398347569448" createdVersion="8" refreshedVersion="8" minRefreshableVersion="3" recordCount="250" xr:uid="{C3732221-7DD2-4FAA-B25C-B4E9F43182E9}">
  <cacheSource type="worksheet">
    <worksheetSource ref="A1:N251" sheet="Dataset"/>
  </cacheSource>
  <cacheFields count="14">
    <cacheField name="Transaction_ID" numFmtId="0">
      <sharedItems/>
    </cacheField>
    <cacheField name="Date" numFmtId="14">
      <sharedItems containsSemiMixedTypes="0" containsNonDate="0" containsDate="1" containsString="0" minDate="2024-04-11T00:00:00" maxDate="2025-04-12T00:00:00"/>
    </cacheField>
    <cacheField name="Customer_ID" numFmtId="0">
      <sharedItems/>
    </cacheField>
    <cacheField name="Customer_Name" numFmtId="0">
      <sharedItems/>
    </cacheField>
    <cacheField name="Product_ID" numFmtId="0">
      <sharedItems/>
    </cacheField>
    <cacheField name="Product_Name" numFmtId="0">
      <sharedItems count="10">
        <s v="Monitor"/>
        <s v="Blender"/>
        <s v="Bookshelf"/>
        <s v="Headphones"/>
        <s v="Laptop"/>
        <s v="Smartphone"/>
        <s v="Desk"/>
        <s v="Coffee Maker"/>
        <s v="Keyboard"/>
        <s v="Office Chair"/>
      </sharedItems>
    </cacheField>
    <cacheField name="Category" numFmtId="0">
      <sharedItems count="3">
        <s v="Electronics"/>
        <s v="Appliances"/>
        <s v="Furniture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165">
      <sharedItems containsSemiMixedTypes="0" containsString="0" containsNumber="1" minValue="59.99" maxValue="899.99"/>
    </cacheField>
    <cacheField name="Payment_Method" numFmtId="0">
      <sharedItems count="4">
        <s v="Cash"/>
        <s v="Credit Card"/>
        <s v="PayPal"/>
        <s v="Debit Card"/>
      </sharedItems>
    </cacheField>
    <cacheField name="Region" numFmtId="0">
      <sharedItems count="5">
        <s v="Central"/>
        <s v="South"/>
        <s v="North"/>
        <s v="West"/>
        <s v="East"/>
      </sharedItems>
    </cacheField>
    <cacheField name="Customer_Segment" numFmtId="0">
      <sharedItems/>
    </cacheField>
    <cacheField name="Customer_Since" numFmtId="14">
      <sharedItems containsSemiMixedTypes="0" containsNonDate="0" containsDate="1" containsString="0" minDate="2021-07-18T00:00:00" maxDate="2024-04-12T00:00:00"/>
    </cacheField>
    <cacheField name="Total_Amount" numFmtId="165">
      <sharedItems containsSemiMixedTypes="0" containsString="0" containsNumber="1" minValue="59.99" maxValue="4499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TRX0155"/>
    <d v="2024-04-11T00:00:00"/>
    <s v="CUST023"/>
    <s v="Paul Baker"/>
    <s v="P009"/>
    <x v="0"/>
    <x v="0"/>
    <n v="3"/>
    <n v="249.99"/>
    <x v="0"/>
    <x v="0"/>
    <s v="Basic"/>
    <d v="2021-08-17T00:00:00"/>
    <n v="749.97"/>
  </r>
  <r>
    <s v="TRX0023"/>
    <d v="2024-04-14T00:00:00"/>
    <s v="CUST013"/>
    <s v="Joseph Jackson"/>
    <s v="P009"/>
    <x v="0"/>
    <x v="0"/>
    <n v="3"/>
    <n v="249.99"/>
    <x v="1"/>
    <x v="0"/>
    <s v="Premium"/>
    <d v="2022-01-14T00:00:00"/>
    <n v="749.97"/>
  </r>
  <r>
    <s v="TRX0139"/>
    <d v="2024-04-17T00:00:00"/>
    <s v="CUST021"/>
    <s v="Kevin Scott"/>
    <s v="P005"/>
    <x v="1"/>
    <x v="1"/>
    <n v="3"/>
    <n v="59.99"/>
    <x v="2"/>
    <x v="1"/>
    <s v="Standard"/>
    <d v="2023-12-02T00:00:00"/>
    <n v="179.97"/>
  </r>
  <r>
    <s v="TRX0043"/>
    <d v="2024-04-18T00:00:00"/>
    <s v="CUST046"/>
    <s v="Kathleen Bennett"/>
    <s v="P005"/>
    <x v="1"/>
    <x v="1"/>
    <n v="3"/>
    <n v="59.99"/>
    <x v="0"/>
    <x v="2"/>
    <s v="Premium"/>
    <d v="2023-07-07T00:00:00"/>
    <n v="179.97"/>
  </r>
  <r>
    <s v="TRX0212"/>
    <d v="2024-04-18T00:00:00"/>
    <s v="CUST003"/>
    <s v="Michael Brown"/>
    <s v="P008"/>
    <x v="2"/>
    <x v="2"/>
    <n v="5"/>
    <n v="149.99"/>
    <x v="1"/>
    <x v="2"/>
    <s v="Premium"/>
    <d v="2024-01-04T00:00:00"/>
    <n v="749.95"/>
  </r>
  <r>
    <s v="TRX0092"/>
    <d v="2024-04-21T00:00:00"/>
    <s v="CUST024"/>
    <s v="Dorothy Nelson"/>
    <s v="P005"/>
    <x v="1"/>
    <x v="1"/>
    <n v="2"/>
    <n v="59.99"/>
    <x v="0"/>
    <x v="3"/>
    <s v="Standard"/>
    <d v="2022-07-04T00:00:00"/>
    <n v="119.98"/>
  </r>
  <r>
    <s v="TRX0193"/>
    <d v="2024-04-21T00:00:00"/>
    <s v="CUST024"/>
    <s v="Dorothy Nelson"/>
    <s v="P003"/>
    <x v="3"/>
    <x v="0"/>
    <n v="5"/>
    <n v="149.99"/>
    <x v="1"/>
    <x v="0"/>
    <s v="Standard"/>
    <d v="2021-08-10T00:00:00"/>
    <n v="749.95"/>
  </r>
  <r>
    <s v="TRX0240"/>
    <d v="2024-04-21T00:00:00"/>
    <s v="CUST017"/>
    <s v="Charles Allen"/>
    <s v="P005"/>
    <x v="1"/>
    <x v="1"/>
    <n v="3"/>
    <n v="59.99"/>
    <x v="3"/>
    <x v="1"/>
    <s v="Basic"/>
    <d v="2023-03-22T00:00:00"/>
    <n v="179.97"/>
  </r>
  <r>
    <s v="TRX0135"/>
    <d v="2024-04-23T00:00:00"/>
    <s v="CUST009"/>
    <s v="Robert Thomas"/>
    <s v="P001"/>
    <x v="4"/>
    <x v="0"/>
    <n v="3"/>
    <n v="899.99"/>
    <x v="2"/>
    <x v="4"/>
    <s v="Standard"/>
    <d v="2024-01-08T00:00:00"/>
    <n v="2699.97"/>
  </r>
  <r>
    <s v="TRX0185"/>
    <d v="2024-04-26T00:00:00"/>
    <s v="CUST026"/>
    <s v="Karen Hill"/>
    <s v="P005"/>
    <x v="1"/>
    <x v="1"/>
    <n v="3"/>
    <n v="59.99"/>
    <x v="0"/>
    <x v="3"/>
    <s v="Premium"/>
    <d v="2023-10-08T00:00:00"/>
    <n v="179.97"/>
  </r>
  <r>
    <s v="TRX0138"/>
    <d v="2024-04-26T00:00:00"/>
    <s v="CUST022"/>
    <s v="Susan Green"/>
    <s v="P008"/>
    <x v="2"/>
    <x v="2"/>
    <n v="1"/>
    <n v="149.99"/>
    <x v="1"/>
    <x v="3"/>
    <s v="Standard"/>
    <d v="2023-06-26T00:00:00"/>
    <n v="149.99"/>
  </r>
  <r>
    <s v="TRX0209"/>
    <d v="2024-04-26T00:00:00"/>
    <s v="CUST046"/>
    <s v="Kathleen Bennett"/>
    <s v="P008"/>
    <x v="2"/>
    <x v="2"/>
    <n v="5"/>
    <n v="149.99"/>
    <x v="3"/>
    <x v="2"/>
    <s v="Basic"/>
    <d v="2022-09-26T00:00:00"/>
    <n v="749.95"/>
  </r>
  <r>
    <s v="TRX0246"/>
    <d v="2024-04-26T00:00:00"/>
    <s v="CUST041"/>
    <s v="Peter Richardson"/>
    <s v="P008"/>
    <x v="2"/>
    <x v="2"/>
    <n v="3"/>
    <n v="149.99"/>
    <x v="0"/>
    <x v="2"/>
    <s v="Premium"/>
    <d v="2022-09-02T00:00:00"/>
    <n v="449.97"/>
  </r>
  <r>
    <s v="TRX0067"/>
    <d v="2024-04-27T00:00:00"/>
    <s v="CUST043"/>
    <s v="Dennis Gray"/>
    <s v="P005"/>
    <x v="1"/>
    <x v="1"/>
    <n v="3"/>
    <n v="59.99"/>
    <x v="1"/>
    <x v="2"/>
    <s v="Standard"/>
    <d v="2024-02-29T00:00:00"/>
    <n v="179.97"/>
  </r>
  <r>
    <s v="TRX0191"/>
    <d v="2024-04-27T00:00:00"/>
    <s v="CUST038"/>
    <s v="Michelle Rogers"/>
    <s v="P002"/>
    <x v="5"/>
    <x v="0"/>
    <n v="3"/>
    <n v="699.99"/>
    <x v="1"/>
    <x v="3"/>
    <s v="Basic"/>
    <d v="2022-01-16T00:00:00"/>
    <n v="2099.9699999999998"/>
  </r>
  <r>
    <s v="TRX0230"/>
    <d v="2024-04-27T00:00:00"/>
    <s v="CUST027"/>
    <s v="George Adams"/>
    <s v="P001"/>
    <x v="4"/>
    <x v="0"/>
    <n v="1"/>
    <n v="899.99"/>
    <x v="3"/>
    <x v="2"/>
    <s v="Standard"/>
    <d v="2022-12-25T00:00:00"/>
    <n v="899.99"/>
  </r>
  <r>
    <s v="TRX0049"/>
    <d v="2024-04-28T00:00:00"/>
    <s v="CUST025"/>
    <s v="Mark Carter"/>
    <s v="P008"/>
    <x v="2"/>
    <x v="2"/>
    <n v="4"/>
    <n v="149.99"/>
    <x v="3"/>
    <x v="2"/>
    <s v="Premium"/>
    <d v="2024-03-23T00:00:00"/>
    <n v="599.96"/>
  </r>
  <r>
    <s v="TRX0134"/>
    <d v="2024-04-28T00:00:00"/>
    <s v="CUST010"/>
    <s v="Maria Garcia"/>
    <s v="P002"/>
    <x v="5"/>
    <x v="0"/>
    <n v="2"/>
    <n v="699.99"/>
    <x v="0"/>
    <x v="2"/>
    <s v="Basic"/>
    <d v="2022-08-08T00:00:00"/>
    <n v="1399.98"/>
  </r>
  <r>
    <s v="TRX0122"/>
    <d v="2024-04-28T00:00:00"/>
    <s v="CUST025"/>
    <s v="Mark Carter"/>
    <s v="P001"/>
    <x v="4"/>
    <x v="0"/>
    <n v="4"/>
    <n v="899.99"/>
    <x v="1"/>
    <x v="3"/>
    <s v="Standard"/>
    <d v="2024-02-05T00:00:00"/>
    <n v="3599.96"/>
  </r>
  <r>
    <s v="TRX0222"/>
    <d v="2024-04-28T00:00:00"/>
    <s v="CUST048"/>
    <s v="Virginia Sanders"/>
    <s v="P009"/>
    <x v="0"/>
    <x v="0"/>
    <n v="3"/>
    <n v="249.99"/>
    <x v="1"/>
    <x v="2"/>
    <s v="Premium"/>
    <d v="2023-10-25T00:00:00"/>
    <n v="749.97"/>
  </r>
  <r>
    <s v="TRX0231"/>
    <d v="2024-04-30T00:00:00"/>
    <s v="CUST018"/>
    <s v="Barbara Young"/>
    <s v="P002"/>
    <x v="5"/>
    <x v="0"/>
    <n v="5"/>
    <n v="699.99"/>
    <x v="0"/>
    <x v="3"/>
    <s v="Basic"/>
    <d v="2023-08-29T00:00:00"/>
    <n v="3499.95"/>
  </r>
  <r>
    <s v="TRX0239"/>
    <d v="2024-05-01T00:00:00"/>
    <s v="CUST012"/>
    <s v="Patricia Moore"/>
    <s v="P002"/>
    <x v="5"/>
    <x v="0"/>
    <n v="4"/>
    <n v="699.99"/>
    <x v="0"/>
    <x v="4"/>
    <s v="Standard"/>
    <d v="2021-08-01T00:00:00"/>
    <n v="2799.96"/>
  </r>
  <r>
    <s v="TRX0204"/>
    <d v="2024-05-03T00:00:00"/>
    <s v="CUST044"/>
    <s v="Cynthia Price"/>
    <s v="P009"/>
    <x v="0"/>
    <x v="0"/>
    <n v="4"/>
    <n v="249.99"/>
    <x v="2"/>
    <x v="2"/>
    <s v="Standard"/>
    <d v="2021-09-29T00:00:00"/>
    <n v="999.96"/>
  </r>
  <r>
    <s v="TRX0242"/>
    <d v="2024-05-04T00:00:00"/>
    <s v="CUST025"/>
    <s v="Mark Carter"/>
    <s v="P007"/>
    <x v="6"/>
    <x v="2"/>
    <n v="4"/>
    <n v="299.99"/>
    <x v="0"/>
    <x v="3"/>
    <s v="Premium"/>
    <d v="2022-06-04T00:00:00"/>
    <n v="1199.96"/>
  </r>
  <r>
    <s v="TRX0071"/>
    <d v="2024-05-10T00:00:00"/>
    <s v="CUST036"/>
    <s v="Nancy Collins"/>
    <s v="P009"/>
    <x v="0"/>
    <x v="0"/>
    <n v="5"/>
    <n v="249.99"/>
    <x v="1"/>
    <x v="3"/>
    <s v="Standard"/>
    <d v="2021-11-25T00:00:00"/>
    <n v="1249.95"/>
  </r>
  <r>
    <s v="TRX0040"/>
    <d v="2024-05-12T00:00:00"/>
    <s v="CUST022"/>
    <s v="Susan Green"/>
    <s v="P007"/>
    <x v="6"/>
    <x v="2"/>
    <n v="5"/>
    <n v="299.99"/>
    <x v="2"/>
    <x v="4"/>
    <s v="Basic"/>
    <d v="2023-08-30T00:00:00"/>
    <n v="1499.95"/>
  </r>
  <r>
    <s v="TRX0235"/>
    <d v="2024-05-12T00:00:00"/>
    <s v="CUST014"/>
    <s v="Linda Martin"/>
    <s v="P004"/>
    <x v="7"/>
    <x v="1"/>
    <n v="3"/>
    <n v="79.989999999999995"/>
    <x v="2"/>
    <x v="4"/>
    <s v="Premium"/>
    <d v="2023-03-27T00:00:00"/>
    <n v="239.97"/>
  </r>
  <r>
    <s v="TRX0004"/>
    <d v="2024-05-12T00:00:00"/>
    <s v="CUST012"/>
    <s v="Patricia Moore"/>
    <s v="P010"/>
    <x v="8"/>
    <x v="0"/>
    <n v="5"/>
    <n v="89.99"/>
    <x v="0"/>
    <x v="2"/>
    <s v="Premium"/>
    <d v="2022-12-24T00:00:00"/>
    <n v="449.95"/>
  </r>
  <r>
    <s v="TRX0063"/>
    <d v="2024-05-13T00:00:00"/>
    <s v="CUST030"/>
    <s v="Helen Roberts"/>
    <s v="P005"/>
    <x v="1"/>
    <x v="1"/>
    <n v="2"/>
    <n v="59.99"/>
    <x v="3"/>
    <x v="0"/>
    <s v="Standard"/>
    <d v="2023-10-15T00:00:00"/>
    <n v="119.98"/>
  </r>
  <r>
    <s v="TRX0241"/>
    <d v="2024-05-15T00:00:00"/>
    <s v="CUST029"/>
    <s v="Edward Mitchell"/>
    <s v="P005"/>
    <x v="1"/>
    <x v="1"/>
    <n v="4"/>
    <n v="59.99"/>
    <x v="3"/>
    <x v="4"/>
    <s v="Standard"/>
    <d v="2022-11-02T00:00:00"/>
    <n v="239.96"/>
  </r>
  <r>
    <s v="TRX0029"/>
    <d v="2024-05-15T00:00:00"/>
    <s v="CUST017"/>
    <s v="Charles Allen"/>
    <s v="P006"/>
    <x v="9"/>
    <x v="2"/>
    <n v="5"/>
    <n v="199.99"/>
    <x v="0"/>
    <x v="1"/>
    <s v="Standard"/>
    <d v="2021-08-04T00:00:00"/>
    <n v="999.95"/>
  </r>
  <r>
    <s v="TRX0194"/>
    <d v="2024-05-16T00:00:00"/>
    <s v="CUST006"/>
    <s v="Lisa Anderson"/>
    <s v="P008"/>
    <x v="2"/>
    <x v="2"/>
    <n v="2"/>
    <n v="149.99"/>
    <x v="1"/>
    <x v="3"/>
    <s v="Basic"/>
    <d v="2022-09-19T00:00:00"/>
    <n v="299.98"/>
  </r>
  <r>
    <s v="TRX0130"/>
    <d v="2024-05-18T00:00:00"/>
    <s v="CUST002"/>
    <s v="Emma Wilson"/>
    <s v="P008"/>
    <x v="2"/>
    <x v="2"/>
    <n v="3"/>
    <n v="149.99"/>
    <x v="1"/>
    <x v="3"/>
    <s v="Premium"/>
    <d v="2023-05-22T00:00:00"/>
    <n v="449.97"/>
  </r>
  <r>
    <s v="TRX0041"/>
    <d v="2024-05-20T00:00:00"/>
    <s v="CUST021"/>
    <s v="Kevin Scott"/>
    <s v="P001"/>
    <x v="4"/>
    <x v="0"/>
    <n v="1"/>
    <n v="899.99"/>
    <x v="1"/>
    <x v="3"/>
    <s v="Premium"/>
    <d v="2022-01-17T00:00:00"/>
    <n v="899.99"/>
  </r>
  <r>
    <s v="TRX0232"/>
    <d v="2024-05-22T00:00:00"/>
    <s v="CUST012"/>
    <s v="Patricia Moore"/>
    <s v="P007"/>
    <x v="6"/>
    <x v="2"/>
    <n v="3"/>
    <n v="299.99"/>
    <x v="1"/>
    <x v="4"/>
    <s v="Basic"/>
    <d v="2022-09-20T00:00:00"/>
    <n v="899.97"/>
  </r>
  <r>
    <s v="TRX0021"/>
    <d v="2024-05-23T00:00:00"/>
    <s v="CUST006"/>
    <s v="Lisa Anderson"/>
    <s v="P004"/>
    <x v="7"/>
    <x v="1"/>
    <n v="3"/>
    <n v="79.989999999999995"/>
    <x v="0"/>
    <x v="1"/>
    <s v="Basic"/>
    <d v="2023-04-30T00:00:00"/>
    <n v="239.97"/>
  </r>
  <r>
    <s v="TRX0245"/>
    <d v="2024-05-26T00:00:00"/>
    <s v="CUST031"/>
    <s v="Steven Turner"/>
    <s v="P006"/>
    <x v="9"/>
    <x v="2"/>
    <n v="3"/>
    <n v="199.99"/>
    <x v="1"/>
    <x v="2"/>
    <s v="Premium"/>
    <d v="2024-01-01T00:00:00"/>
    <n v="599.97"/>
  </r>
  <r>
    <s v="TRX0015"/>
    <d v="2024-05-28T00:00:00"/>
    <s v="CUST008"/>
    <s v="Jennifer Taylor"/>
    <s v="P002"/>
    <x v="5"/>
    <x v="0"/>
    <n v="5"/>
    <n v="699.99"/>
    <x v="2"/>
    <x v="3"/>
    <s v="Standard"/>
    <d v="2021-07-30T00:00:00"/>
    <n v="3499.95"/>
  </r>
  <r>
    <s v="TRX0202"/>
    <d v="2024-05-29T00:00:00"/>
    <s v="CUST035"/>
    <s v="Harry Morgan"/>
    <s v="P010"/>
    <x v="8"/>
    <x v="0"/>
    <n v="3"/>
    <n v="89.99"/>
    <x v="2"/>
    <x v="0"/>
    <s v="Premium"/>
    <d v="2023-07-13T00:00:00"/>
    <n v="269.97000000000003"/>
  </r>
  <r>
    <s v="TRX0042"/>
    <d v="2024-05-31T00:00:00"/>
    <s v="CUST019"/>
    <s v="Daniel King"/>
    <s v="P004"/>
    <x v="7"/>
    <x v="1"/>
    <n v="1"/>
    <n v="79.989999999999995"/>
    <x v="0"/>
    <x v="2"/>
    <s v="Standard"/>
    <d v="2022-12-22T00:00:00"/>
    <n v="79.989999999999995"/>
  </r>
  <r>
    <s v="TRX0128"/>
    <d v="2024-06-01T00:00:00"/>
    <s v="CUST040"/>
    <s v="Sharon Butler"/>
    <s v="P005"/>
    <x v="1"/>
    <x v="1"/>
    <n v="2"/>
    <n v="59.99"/>
    <x v="0"/>
    <x v="3"/>
    <s v="Basic"/>
    <d v="2024-04-08T00:00:00"/>
    <n v="119.98"/>
  </r>
  <r>
    <s v="TRX0117"/>
    <d v="2024-06-01T00:00:00"/>
    <s v="CUST017"/>
    <s v="Charles Allen"/>
    <s v="P010"/>
    <x v="8"/>
    <x v="0"/>
    <n v="1"/>
    <n v="89.99"/>
    <x v="0"/>
    <x v="2"/>
    <s v="Basic"/>
    <d v="2023-08-03T00:00:00"/>
    <n v="89.99"/>
  </r>
  <r>
    <s v="TRX0208"/>
    <d v="2024-06-03T00:00:00"/>
    <s v="CUST004"/>
    <s v="Sarah Davis"/>
    <s v="P010"/>
    <x v="8"/>
    <x v="0"/>
    <n v="5"/>
    <n v="89.99"/>
    <x v="1"/>
    <x v="4"/>
    <s v="Standard"/>
    <d v="2022-01-26T00:00:00"/>
    <n v="449.95"/>
  </r>
  <r>
    <s v="TRX0234"/>
    <d v="2024-06-06T00:00:00"/>
    <s v="CUST013"/>
    <s v="Joseph Jackson"/>
    <s v="P009"/>
    <x v="0"/>
    <x v="0"/>
    <n v="5"/>
    <n v="249.99"/>
    <x v="1"/>
    <x v="4"/>
    <s v="Standard"/>
    <d v="2022-05-26T00:00:00"/>
    <n v="1249.95"/>
  </r>
  <r>
    <s v="TRX0121"/>
    <d v="2024-06-06T00:00:00"/>
    <s v="CUST028"/>
    <s v="Betty Campbell"/>
    <s v="P010"/>
    <x v="8"/>
    <x v="0"/>
    <n v="1"/>
    <n v="89.99"/>
    <x v="1"/>
    <x v="1"/>
    <s v="Standard"/>
    <d v="2022-01-21T00:00:00"/>
    <n v="89.99"/>
  </r>
  <r>
    <s v="TRX0220"/>
    <d v="2024-06-07T00:00:00"/>
    <s v="CUST003"/>
    <s v="Michael Brown"/>
    <s v="P008"/>
    <x v="2"/>
    <x v="2"/>
    <n v="2"/>
    <n v="149.99"/>
    <x v="0"/>
    <x v="4"/>
    <s v="Premium"/>
    <d v="2022-03-25T00:00:00"/>
    <n v="299.98"/>
  </r>
  <r>
    <s v="TRX0093"/>
    <d v="2024-06-09T00:00:00"/>
    <s v="CUST050"/>
    <s v="Julie Foster"/>
    <s v="P005"/>
    <x v="1"/>
    <x v="1"/>
    <n v="4"/>
    <n v="59.99"/>
    <x v="0"/>
    <x v="4"/>
    <s v="Standard"/>
    <d v="2021-08-27T00:00:00"/>
    <n v="239.96"/>
  </r>
  <r>
    <s v="TRX0088"/>
    <d v="2024-06-13T00:00:00"/>
    <s v="CUST006"/>
    <s v="Lisa Anderson"/>
    <s v="P010"/>
    <x v="8"/>
    <x v="0"/>
    <n v="5"/>
    <n v="89.99"/>
    <x v="0"/>
    <x v="0"/>
    <s v="Premium"/>
    <d v="2022-01-18T00:00:00"/>
    <n v="449.95"/>
  </r>
  <r>
    <s v="TRX0115"/>
    <d v="2024-06-16T00:00:00"/>
    <s v="CUST012"/>
    <s v="Patricia Moore"/>
    <s v="P010"/>
    <x v="8"/>
    <x v="0"/>
    <n v="2"/>
    <n v="89.99"/>
    <x v="1"/>
    <x v="1"/>
    <s v="Premium"/>
    <d v="2021-10-02T00:00:00"/>
    <n v="179.98"/>
  </r>
  <r>
    <s v="TRX0154"/>
    <d v="2024-06-16T00:00:00"/>
    <s v="CUST023"/>
    <s v="Paul Baker"/>
    <s v="P001"/>
    <x v="4"/>
    <x v="0"/>
    <n v="5"/>
    <n v="899.99"/>
    <x v="1"/>
    <x v="1"/>
    <s v="Standard"/>
    <d v="2023-02-17T00:00:00"/>
    <n v="4499.95"/>
  </r>
  <r>
    <s v="TRX0044"/>
    <d v="2024-06-16T00:00:00"/>
    <s v="CUST029"/>
    <s v="Edward Mitchell"/>
    <s v="P001"/>
    <x v="4"/>
    <x v="0"/>
    <n v="5"/>
    <n v="899.99"/>
    <x v="2"/>
    <x v="4"/>
    <s v="Premium"/>
    <d v="2023-12-18T00:00:00"/>
    <n v="4499.95"/>
  </r>
  <r>
    <s v="TRX0061"/>
    <d v="2024-06-17T00:00:00"/>
    <s v="CUST028"/>
    <s v="Betty Campbell"/>
    <s v="P005"/>
    <x v="1"/>
    <x v="1"/>
    <n v="1"/>
    <n v="59.99"/>
    <x v="3"/>
    <x v="3"/>
    <s v="Premium"/>
    <d v="2023-09-21T00:00:00"/>
    <n v="59.99"/>
  </r>
  <r>
    <s v="TRX0150"/>
    <d v="2024-06-17T00:00:00"/>
    <s v="CUST008"/>
    <s v="Jennifer Taylor"/>
    <s v="P007"/>
    <x v="6"/>
    <x v="2"/>
    <n v="2"/>
    <n v="299.99"/>
    <x v="3"/>
    <x v="4"/>
    <s v="Standard"/>
    <d v="2023-11-23T00:00:00"/>
    <n v="599.98"/>
  </r>
  <r>
    <s v="TRX0025"/>
    <d v="2024-06-25T00:00:00"/>
    <s v="CUST049"/>
    <s v="Raymond Ross"/>
    <s v="P010"/>
    <x v="8"/>
    <x v="0"/>
    <n v="4"/>
    <n v="89.99"/>
    <x v="3"/>
    <x v="1"/>
    <s v="Basic"/>
    <d v="2023-12-21T00:00:00"/>
    <n v="359.96"/>
  </r>
  <r>
    <s v="TRX0078"/>
    <d v="2024-06-26T00:00:00"/>
    <s v="CUST021"/>
    <s v="Kevin Scott"/>
    <s v="P004"/>
    <x v="7"/>
    <x v="1"/>
    <n v="1"/>
    <n v="79.989999999999995"/>
    <x v="2"/>
    <x v="0"/>
    <s v="Premium"/>
    <d v="2024-03-01T00:00:00"/>
    <n v="79.989999999999995"/>
  </r>
  <r>
    <s v="TRX0007"/>
    <d v="2024-06-26T00:00:00"/>
    <s v="CUST009"/>
    <s v="Robert Thomas"/>
    <s v="P010"/>
    <x v="8"/>
    <x v="0"/>
    <n v="2"/>
    <n v="89.99"/>
    <x v="0"/>
    <x v="3"/>
    <s v="Basic"/>
    <d v="2021-08-30T00:00:00"/>
    <n v="179.98"/>
  </r>
  <r>
    <s v="TRX0184"/>
    <d v="2024-06-28T00:00:00"/>
    <s v="CUST046"/>
    <s v="Kathleen Bennett"/>
    <s v="P002"/>
    <x v="5"/>
    <x v="0"/>
    <n v="3"/>
    <n v="699.99"/>
    <x v="1"/>
    <x v="4"/>
    <s v="Premium"/>
    <d v="2023-06-25T00:00:00"/>
    <n v="2099.9699999999998"/>
  </r>
  <r>
    <s v="TRX0104"/>
    <d v="2024-06-28T00:00:00"/>
    <s v="CUST012"/>
    <s v="Patricia Moore"/>
    <s v="P001"/>
    <x v="4"/>
    <x v="0"/>
    <n v="4"/>
    <n v="899.99"/>
    <x v="1"/>
    <x v="4"/>
    <s v="Premium"/>
    <d v="2023-03-08T00:00:00"/>
    <n v="3599.96"/>
  </r>
  <r>
    <s v="TRX0127"/>
    <d v="2024-06-29T00:00:00"/>
    <s v="CUST030"/>
    <s v="Helen Roberts"/>
    <s v="P008"/>
    <x v="2"/>
    <x v="2"/>
    <n v="1"/>
    <n v="149.99"/>
    <x v="2"/>
    <x v="4"/>
    <s v="Basic"/>
    <d v="2022-10-17T00:00:00"/>
    <n v="149.99"/>
  </r>
  <r>
    <s v="TRX0096"/>
    <d v="2024-07-01T00:00:00"/>
    <s v="CUST002"/>
    <s v="Emma Wilson"/>
    <s v="P010"/>
    <x v="8"/>
    <x v="0"/>
    <n v="2"/>
    <n v="89.99"/>
    <x v="2"/>
    <x v="0"/>
    <s v="Premium"/>
    <d v="2023-12-15T00:00:00"/>
    <n v="179.98"/>
  </r>
  <r>
    <s v="TRX0192"/>
    <d v="2024-07-02T00:00:00"/>
    <s v="CUST017"/>
    <s v="Charles Allen"/>
    <s v="P010"/>
    <x v="8"/>
    <x v="0"/>
    <n v="1"/>
    <n v="89.99"/>
    <x v="2"/>
    <x v="3"/>
    <s v="Standard"/>
    <d v="2022-08-29T00:00:00"/>
    <n v="89.99"/>
  </r>
  <r>
    <s v="TRX0052"/>
    <d v="2024-07-03T00:00:00"/>
    <s v="CUST022"/>
    <s v="Susan Green"/>
    <s v="P010"/>
    <x v="8"/>
    <x v="0"/>
    <n v="1"/>
    <n v="89.99"/>
    <x v="0"/>
    <x v="1"/>
    <s v="Standard"/>
    <d v="2022-02-19T00:00:00"/>
    <n v="89.99"/>
  </r>
  <r>
    <s v="TRX0070"/>
    <d v="2024-07-03T00:00:00"/>
    <s v="CUST007"/>
    <s v="David Martinez"/>
    <s v="P004"/>
    <x v="7"/>
    <x v="1"/>
    <n v="5"/>
    <n v="79.989999999999995"/>
    <x v="3"/>
    <x v="0"/>
    <s v="Basic"/>
    <d v="2023-02-24T00:00:00"/>
    <n v="399.95"/>
  </r>
  <r>
    <s v="TRX0086"/>
    <d v="2024-07-08T00:00:00"/>
    <s v="CUST020"/>
    <s v="Margaret Wright"/>
    <s v="P008"/>
    <x v="2"/>
    <x v="2"/>
    <n v="1"/>
    <n v="149.99"/>
    <x v="2"/>
    <x v="2"/>
    <s v="Basic"/>
    <d v="2021-08-13T00:00:00"/>
    <n v="149.99"/>
  </r>
  <r>
    <s v="TRX0113"/>
    <d v="2024-07-08T00:00:00"/>
    <s v="CUST003"/>
    <s v="Michael Brown"/>
    <s v="P002"/>
    <x v="5"/>
    <x v="0"/>
    <n v="2"/>
    <n v="699.99"/>
    <x v="2"/>
    <x v="4"/>
    <s v="Premium"/>
    <d v="2024-04-07T00:00:00"/>
    <n v="1399.98"/>
  </r>
  <r>
    <s v="TRX0114"/>
    <d v="2024-07-08T00:00:00"/>
    <s v="CUST018"/>
    <s v="Barbara Young"/>
    <s v="P010"/>
    <x v="8"/>
    <x v="0"/>
    <n v="5"/>
    <n v="89.99"/>
    <x v="3"/>
    <x v="2"/>
    <s v="Premium"/>
    <d v="2023-08-23T00:00:00"/>
    <n v="449.95"/>
  </r>
  <r>
    <s v="TRX0136"/>
    <d v="2024-07-09T00:00:00"/>
    <s v="CUST049"/>
    <s v="Raymond Ross"/>
    <s v="P005"/>
    <x v="1"/>
    <x v="1"/>
    <n v="4"/>
    <n v="59.99"/>
    <x v="0"/>
    <x v="1"/>
    <s v="Standard"/>
    <d v="2021-11-09T00:00:00"/>
    <n v="239.96"/>
  </r>
  <r>
    <s v="TRX0018"/>
    <d v="2024-07-11T00:00:00"/>
    <s v="CUST013"/>
    <s v="Joseph Jackson"/>
    <s v="P003"/>
    <x v="3"/>
    <x v="0"/>
    <n v="1"/>
    <n v="149.99"/>
    <x v="0"/>
    <x v="0"/>
    <s v="Standard"/>
    <d v="2022-12-14T00:00:00"/>
    <n v="149.99"/>
  </r>
  <r>
    <s v="TRX0141"/>
    <d v="2024-07-11T00:00:00"/>
    <s v="CUST033"/>
    <s v="Frank Torres"/>
    <s v="P007"/>
    <x v="6"/>
    <x v="2"/>
    <n v="1"/>
    <n v="299.99"/>
    <x v="1"/>
    <x v="2"/>
    <s v="Premium"/>
    <d v="2022-11-26T00:00:00"/>
    <n v="299.99"/>
  </r>
  <r>
    <s v="TRX0097"/>
    <d v="2024-07-14T00:00:00"/>
    <s v="CUST033"/>
    <s v="Frank Torres"/>
    <s v="P006"/>
    <x v="9"/>
    <x v="2"/>
    <n v="2"/>
    <n v="199.99"/>
    <x v="0"/>
    <x v="2"/>
    <s v="Basic"/>
    <d v="2021-12-11T00:00:00"/>
    <n v="399.98"/>
  </r>
  <r>
    <s v="TRX0169"/>
    <d v="2024-07-17T00:00:00"/>
    <s v="CUST047"/>
    <s v="Gerald Murphy"/>
    <s v="P005"/>
    <x v="1"/>
    <x v="1"/>
    <n v="3"/>
    <n v="59.99"/>
    <x v="1"/>
    <x v="3"/>
    <s v="Basic"/>
    <d v="2023-07-23T00:00:00"/>
    <n v="179.97"/>
  </r>
  <r>
    <s v="TRX0216"/>
    <d v="2024-07-17T00:00:00"/>
    <s v="CUST041"/>
    <s v="Peter Richardson"/>
    <s v="P008"/>
    <x v="2"/>
    <x v="2"/>
    <n v="3"/>
    <n v="149.99"/>
    <x v="0"/>
    <x v="0"/>
    <s v="Premium"/>
    <d v="2023-09-30T00:00:00"/>
    <n v="449.97"/>
  </r>
  <r>
    <s v="TRX0131"/>
    <d v="2024-07-18T00:00:00"/>
    <s v="CUST026"/>
    <s v="Karen Hill"/>
    <s v="P006"/>
    <x v="9"/>
    <x v="2"/>
    <n v="3"/>
    <n v="199.99"/>
    <x v="0"/>
    <x v="2"/>
    <s v="Premium"/>
    <d v="2023-11-24T00:00:00"/>
    <n v="599.97"/>
  </r>
  <r>
    <s v="TRX0162"/>
    <d v="2024-07-23T00:00:00"/>
    <s v="CUST040"/>
    <s v="Sharon Butler"/>
    <s v="P001"/>
    <x v="4"/>
    <x v="0"/>
    <n v="1"/>
    <n v="899.99"/>
    <x v="0"/>
    <x v="0"/>
    <s v="Standard"/>
    <d v="2023-09-10T00:00:00"/>
    <n v="899.99"/>
  </r>
  <r>
    <s v="TRX0244"/>
    <d v="2024-07-24T00:00:00"/>
    <s v="CUST013"/>
    <s v="Joseph Jackson"/>
    <s v="P001"/>
    <x v="4"/>
    <x v="0"/>
    <n v="5"/>
    <n v="899.99"/>
    <x v="3"/>
    <x v="1"/>
    <s v="Standard"/>
    <d v="2022-12-04T00:00:00"/>
    <n v="4499.95"/>
  </r>
  <r>
    <s v="TRX0006"/>
    <d v="2024-07-25T00:00:00"/>
    <s v="CUST007"/>
    <s v="David Martinez"/>
    <s v="P005"/>
    <x v="1"/>
    <x v="1"/>
    <n v="2"/>
    <n v="59.99"/>
    <x v="0"/>
    <x v="2"/>
    <s v="Standard"/>
    <d v="2023-08-14T00:00:00"/>
    <n v="119.98"/>
  </r>
  <r>
    <s v="TRX0215"/>
    <d v="2024-07-25T00:00:00"/>
    <s v="CUST047"/>
    <s v="Gerald Murphy"/>
    <s v="P009"/>
    <x v="0"/>
    <x v="0"/>
    <n v="4"/>
    <n v="249.99"/>
    <x v="3"/>
    <x v="0"/>
    <s v="Standard"/>
    <d v="2023-07-20T00:00:00"/>
    <n v="999.96"/>
  </r>
  <r>
    <s v="TRX0080"/>
    <d v="2024-07-27T00:00:00"/>
    <s v="CUST018"/>
    <s v="Barbara Young"/>
    <s v="P009"/>
    <x v="0"/>
    <x v="0"/>
    <n v="2"/>
    <n v="249.99"/>
    <x v="0"/>
    <x v="2"/>
    <s v="Premium"/>
    <d v="2023-08-26T00:00:00"/>
    <n v="499.98"/>
  </r>
  <r>
    <s v="TRX0228"/>
    <d v="2024-07-27T00:00:00"/>
    <s v="CUST019"/>
    <s v="Daniel King"/>
    <s v="P007"/>
    <x v="6"/>
    <x v="2"/>
    <n v="1"/>
    <n v="299.99"/>
    <x v="0"/>
    <x v="1"/>
    <s v="Basic"/>
    <d v="2023-02-25T00:00:00"/>
    <n v="299.99"/>
  </r>
  <r>
    <s v="TRX0157"/>
    <d v="2024-07-28T00:00:00"/>
    <s v="CUST025"/>
    <s v="Mark Carter"/>
    <s v="P010"/>
    <x v="8"/>
    <x v="0"/>
    <n v="2"/>
    <n v="89.99"/>
    <x v="2"/>
    <x v="1"/>
    <s v="Basic"/>
    <d v="2023-02-19T00:00:00"/>
    <n v="179.98"/>
  </r>
  <r>
    <s v="TRX0002"/>
    <d v="2024-07-28T00:00:00"/>
    <s v="CUST019"/>
    <s v="Daniel King"/>
    <s v="P007"/>
    <x v="6"/>
    <x v="2"/>
    <n v="3"/>
    <n v="299.99"/>
    <x v="0"/>
    <x v="0"/>
    <s v="Basic"/>
    <d v="2022-06-20T00:00:00"/>
    <n v="899.97"/>
  </r>
  <r>
    <s v="TRX0217"/>
    <d v="2024-07-30T00:00:00"/>
    <s v="CUST025"/>
    <s v="Mark Carter"/>
    <s v="P002"/>
    <x v="5"/>
    <x v="0"/>
    <n v="2"/>
    <n v="699.99"/>
    <x v="1"/>
    <x v="2"/>
    <s v="Premium"/>
    <d v="2023-03-14T00:00:00"/>
    <n v="1399.98"/>
  </r>
  <r>
    <s v="TRX0249"/>
    <d v="2024-07-31T00:00:00"/>
    <s v="CUST030"/>
    <s v="Helen Roberts"/>
    <s v="P001"/>
    <x v="4"/>
    <x v="0"/>
    <n v="4"/>
    <n v="899.99"/>
    <x v="3"/>
    <x v="1"/>
    <s v="Standard"/>
    <d v="2021-11-23T00:00:00"/>
    <n v="3599.96"/>
  </r>
  <r>
    <s v="TRX0065"/>
    <d v="2024-08-05T00:00:00"/>
    <s v="CUST016"/>
    <s v="Elizabeth Hall"/>
    <s v="P008"/>
    <x v="2"/>
    <x v="2"/>
    <n v="2"/>
    <n v="149.99"/>
    <x v="1"/>
    <x v="3"/>
    <s v="Basic"/>
    <d v="2021-12-12T00:00:00"/>
    <n v="299.98"/>
  </r>
  <r>
    <s v="TRX0176"/>
    <d v="2024-08-06T00:00:00"/>
    <s v="CUST044"/>
    <s v="Cynthia Price"/>
    <s v="P008"/>
    <x v="2"/>
    <x v="2"/>
    <n v="2"/>
    <n v="149.99"/>
    <x v="3"/>
    <x v="4"/>
    <s v="Standard"/>
    <d v="2022-04-16T00:00:00"/>
    <n v="299.98"/>
  </r>
  <r>
    <s v="TRX0101"/>
    <d v="2024-08-09T00:00:00"/>
    <s v="CUST010"/>
    <s v="Maria Garcia"/>
    <s v="P010"/>
    <x v="8"/>
    <x v="0"/>
    <n v="1"/>
    <n v="89.99"/>
    <x v="1"/>
    <x v="2"/>
    <s v="Standard"/>
    <d v="2024-04-11T00:00:00"/>
    <n v="89.99"/>
  </r>
  <r>
    <s v="TRX0205"/>
    <d v="2024-08-11T00:00:00"/>
    <s v="CUST025"/>
    <s v="Mark Carter"/>
    <s v="P007"/>
    <x v="6"/>
    <x v="2"/>
    <n v="5"/>
    <n v="299.99"/>
    <x v="1"/>
    <x v="2"/>
    <s v="Basic"/>
    <d v="2023-02-08T00:00:00"/>
    <n v="1499.95"/>
  </r>
  <r>
    <s v="TRX0020"/>
    <d v="2024-08-13T00:00:00"/>
    <s v="CUST007"/>
    <s v="David Martinez"/>
    <s v="P003"/>
    <x v="3"/>
    <x v="0"/>
    <n v="4"/>
    <n v="149.99"/>
    <x v="3"/>
    <x v="1"/>
    <s v="Premium"/>
    <d v="2022-09-16T00:00:00"/>
    <n v="599.96"/>
  </r>
  <r>
    <s v="TRX0075"/>
    <d v="2024-08-13T00:00:00"/>
    <s v="CUST020"/>
    <s v="Margaret Wright"/>
    <s v="P009"/>
    <x v="0"/>
    <x v="0"/>
    <n v="5"/>
    <n v="249.99"/>
    <x v="2"/>
    <x v="4"/>
    <s v="Premium"/>
    <d v="2022-08-09T00:00:00"/>
    <n v="1249.95"/>
  </r>
  <r>
    <s v="TRX0098"/>
    <d v="2024-08-13T00:00:00"/>
    <s v="CUST026"/>
    <s v="Karen Hill"/>
    <s v="P009"/>
    <x v="0"/>
    <x v="0"/>
    <n v="3"/>
    <n v="249.99"/>
    <x v="2"/>
    <x v="2"/>
    <s v="Premium"/>
    <d v="2021-09-26T00:00:00"/>
    <n v="749.97"/>
  </r>
  <r>
    <s v="TRX0247"/>
    <d v="2024-08-13T00:00:00"/>
    <s v="CUST046"/>
    <s v="Kathleen Bennett"/>
    <s v="P006"/>
    <x v="9"/>
    <x v="2"/>
    <n v="4"/>
    <n v="199.99"/>
    <x v="0"/>
    <x v="2"/>
    <s v="Standard"/>
    <d v="2021-09-19T00:00:00"/>
    <n v="799.96"/>
  </r>
  <r>
    <s v="TRX0027"/>
    <d v="2024-08-15T00:00:00"/>
    <s v="CUST028"/>
    <s v="Betty Campbell"/>
    <s v="P006"/>
    <x v="9"/>
    <x v="2"/>
    <n v="5"/>
    <n v="199.99"/>
    <x v="0"/>
    <x v="2"/>
    <s v="Premium"/>
    <d v="2023-03-06T00:00:00"/>
    <n v="999.95"/>
  </r>
  <r>
    <s v="TRX0140"/>
    <d v="2024-08-18T00:00:00"/>
    <s v="CUST025"/>
    <s v="Mark Carter"/>
    <s v="P010"/>
    <x v="8"/>
    <x v="0"/>
    <n v="2"/>
    <n v="89.99"/>
    <x v="0"/>
    <x v="4"/>
    <s v="Premium"/>
    <d v="2023-02-15T00:00:00"/>
    <n v="179.98"/>
  </r>
  <r>
    <s v="TRX0132"/>
    <d v="2024-08-19T00:00:00"/>
    <s v="CUST047"/>
    <s v="Gerald Murphy"/>
    <s v="P001"/>
    <x v="4"/>
    <x v="0"/>
    <n v="5"/>
    <n v="899.99"/>
    <x v="3"/>
    <x v="4"/>
    <s v="Basic"/>
    <d v="2021-11-26T00:00:00"/>
    <n v="4499.95"/>
  </r>
  <r>
    <s v="TRX0031"/>
    <d v="2024-08-19T00:00:00"/>
    <s v="CUST036"/>
    <s v="Nancy Collins"/>
    <s v="P003"/>
    <x v="3"/>
    <x v="0"/>
    <n v="3"/>
    <n v="149.99"/>
    <x v="2"/>
    <x v="4"/>
    <s v="Basic"/>
    <d v="2022-01-13T00:00:00"/>
    <n v="449.97"/>
  </r>
  <r>
    <s v="TRX0236"/>
    <d v="2024-08-22T00:00:00"/>
    <s v="CUST044"/>
    <s v="Cynthia Price"/>
    <s v="P008"/>
    <x v="2"/>
    <x v="2"/>
    <n v="5"/>
    <n v="149.99"/>
    <x v="1"/>
    <x v="0"/>
    <s v="Basic"/>
    <d v="2024-01-19T00:00:00"/>
    <n v="749.95"/>
  </r>
  <r>
    <s v="TRX0001"/>
    <d v="2024-08-24T00:00:00"/>
    <s v="CUST039"/>
    <s v="Lawrence Reed"/>
    <s v="P004"/>
    <x v="7"/>
    <x v="1"/>
    <n v="3"/>
    <n v="79.989999999999995"/>
    <x v="0"/>
    <x v="0"/>
    <s v="Premium"/>
    <d v="2022-08-06T00:00:00"/>
    <n v="239.97"/>
  </r>
  <r>
    <s v="TRX0037"/>
    <d v="2024-08-24T00:00:00"/>
    <s v="CUST035"/>
    <s v="Harry Morgan"/>
    <s v="P009"/>
    <x v="0"/>
    <x v="0"/>
    <n v="2"/>
    <n v="249.99"/>
    <x v="0"/>
    <x v="1"/>
    <s v="Standard"/>
    <d v="2022-01-11T00:00:00"/>
    <n v="499.98"/>
  </r>
  <r>
    <s v="TRX0058"/>
    <d v="2024-08-28T00:00:00"/>
    <s v="CUST047"/>
    <s v="Gerald Murphy"/>
    <s v="P002"/>
    <x v="5"/>
    <x v="0"/>
    <n v="1"/>
    <n v="699.99"/>
    <x v="0"/>
    <x v="0"/>
    <s v="Premium"/>
    <d v="2021-10-28T00:00:00"/>
    <n v="699.99"/>
  </r>
  <r>
    <s v="TRX0170"/>
    <d v="2024-08-28T00:00:00"/>
    <s v="CUST034"/>
    <s v="Carol Evans"/>
    <s v="P003"/>
    <x v="3"/>
    <x v="0"/>
    <n v="3"/>
    <n v="149.99"/>
    <x v="0"/>
    <x v="3"/>
    <s v="Premium"/>
    <d v="2023-10-13T00:00:00"/>
    <n v="449.97"/>
  </r>
  <r>
    <s v="TRX0248"/>
    <d v="2024-08-30T00:00:00"/>
    <s v="CUST032"/>
    <s v="Sandra Phillips"/>
    <s v="P002"/>
    <x v="5"/>
    <x v="0"/>
    <n v="2"/>
    <n v="699.99"/>
    <x v="1"/>
    <x v="2"/>
    <s v="Premium"/>
    <d v="2021-08-13T00:00:00"/>
    <n v="1399.98"/>
  </r>
  <r>
    <s v="TRX0099"/>
    <d v="2024-09-02T00:00:00"/>
    <s v="CUST034"/>
    <s v="Carol Evans"/>
    <s v="P009"/>
    <x v="0"/>
    <x v="0"/>
    <n v="1"/>
    <n v="249.99"/>
    <x v="1"/>
    <x v="3"/>
    <s v="Premium"/>
    <d v="2022-05-04T00:00:00"/>
    <n v="249.99"/>
  </r>
  <r>
    <s v="TRX0074"/>
    <d v="2024-09-02T00:00:00"/>
    <s v="CUST023"/>
    <s v="Paul Baker"/>
    <s v="P009"/>
    <x v="0"/>
    <x v="0"/>
    <n v="1"/>
    <n v="249.99"/>
    <x v="3"/>
    <x v="2"/>
    <s v="Premium"/>
    <d v="2024-02-10T00:00:00"/>
    <n v="249.99"/>
  </r>
  <r>
    <s v="TRX0225"/>
    <d v="2024-09-03T00:00:00"/>
    <s v="CUST039"/>
    <s v="Lawrence Reed"/>
    <s v="P002"/>
    <x v="5"/>
    <x v="0"/>
    <n v="2"/>
    <n v="699.99"/>
    <x v="3"/>
    <x v="0"/>
    <s v="Premium"/>
    <d v="2022-11-05T00:00:00"/>
    <n v="1399.98"/>
  </r>
  <r>
    <s v="TRX0100"/>
    <d v="2024-09-06T00:00:00"/>
    <s v="CUST031"/>
    <s v="Steven Turner"/>
    <s v="P005"/>
    <x v="1"/>
    <x v="1"/>
    <n v="3"/>
    <n v="59.99"/>
    <x v="1"/>
    <x v="0"/>
    <s v="Premium"/>
    <d v="2022-06-05T00:00:00"/>
    <n v="179.97"/>
  </r>
  <r>
    <s v="TRX0142"/>
    <d v="2024-09-09T00:00:00"/>
    <s v="CUST002"/>
    <s v="Emma Wilson"/>
    <s v="P005"/>
    <x v="1"/>
    <x v="1"/>
    <n v="3"/>
    <n v="59.99"/>
    <x v="2"/>
    <x v="4"/>
    <s v="Standard"/>
    <d v="2022-07-06T00:00:00"/>
    <n v="179.97"/>
  </r>
  <r>
    <s v="TRX0112"/>
    <d v="2024-09-09T00:00:00"/>
    <s v="CUST008"/>
    <s v="Jennifer Taylor"/>
    <s v="P004"/>
    <x v="7"/>
    <x v="1"/>
    <n v="4"/>
    <n v="79.989999999999995"/>
    <x v="0"/>
    <x v="2"/>
    <s v="Basic"/>
    <d v="2021-11-30T00:00:00"/>
    <n v="319.95999999999998"/>
  </r>
  <r>
    <s v="TRX0161"/>
    <d v="2024-09-10T00:00:00"/>
    <s v="CUST017"/>
    <s v="Charles Allen"/>
    <s v="P004"/>
    <x v="7"/>
    <x v="1"/>
    <n v="1"/>
    <n v="79.989999999999995"/>
    <x v="0"/>
    <x v="3"/>
    <s v="Basic"/>
    <d v="2022-05-12T00:00:00"/>
    <n v="79.989999999999995"/>
  </r>
  <r>
    <s v="TRX0108"/>
    <d v="2024-09-12T00:00:00"/>
    <s v="CUST024"/>
    <s v="Dorothy Nelson"/>
    <s v="P007"/>
    <x v="6"/>
    <x v="2"/>
    <n v="3"/>
    <n v="299.99"/>
    <x v="1"/>
    <x v="0"/>
    <s v="Premium"/>
    <d v="2021-10-25T00:00:00"/>
    <n v="899.97"/>
  </r>
  <r>
    <s v="TRX0211"/>
    <d v="2024-09-13T00:00:00"/>
    <s v="CUST046"/>
    <s v="Kathleen Bennett"/>
    <s v="P010"/>
    <x v="8"/>
    <x v="0"/>
    <n v="2"/>
    <n v="89.99"/>
    <x v="1"/>
    <x v="1"/>
    <s v="Premium"/>
    <d v="2022-03-21T00:00:00"/>
    <n v="179.98"/>
  </r>
  <r>
    <s v="TRX0005"/>
    <d v="2024-09-15T00:00:00"/>
    <s v="CUST042"/>
    <s v="Ruth Brooks"/>
    <s v="P003"/>
    <x v="3"/>
    <x v="0"/>
    <n v="4"/>
    <n v="149.99"/>
    <x v="0"/>
    <x v="2"/>
    <s v="Basic"/>
    <d v="2022-12-14T00:00:00"/>
    <n v="599.96"/>
  </r>
  <r>
    <s v="TRX0195"/>
    <d v="2024-09-16T00:00:00"/>
    <s v="CUST026"/>
    <s v="Karen Hill"/>
    <s v="P009"/>
    <x v="0"/>
    <x v="0"/>
    <n v="2"/>
    <n v="249.99"/>
    <x v="2"/>
    <x v="1"/>
    <s v="Basic"/>
    <d v="2023-03-08T00:00:00"/>
    <n v="499.98"/>
  </r>
  <r>
    <s v="TRX0054"/>
    <d v="2024-09-16T00:00:00"/>
    <s v="CUST004"/>
    <s v="Sarah Davis"/>
    <s v="P006"/>
    <x v="9"/>
    <x v="2"/>
    <n v="4"/>
    <n v="199.99"/>
    <x v="3"/>
    <x v="4"/>
    <s v="Basic"/>
    <d v="2021-09-19T00:00:00"/>
    <n v="799.96"/>
  </r>
  <r>
    <s v="TRX0077"/>
    <d v="2024-09-19T00:00:00"/>
    <s v="CUST019"/>
    <s v="Daniel King"/>
    <s v="P010"/>
    <x v="8"/>
    <x v="0"/>
    <n v="5"/>
    <n v="89.99"/>
    <x v="1"/>
    <x v="4"/>
    <s v="Premium"/>
    <d v="2021-09-07T00:00:00"/>
    <n v="449.95"/>
  </r>
  <r>
    <s v="TRX0111"/>
    <d v="2024-09-19T00:00:00"/>
    <s v="CUST011"/>
    <s v="William White"/>
    <s v="P003"/>
    <x v="3"/>
    <x v="0"/>
    <n v="1"/>
    <n v="149.99"/>
    <x v="2"/>
    <x v="4"/>
    <s v="Standard"/>
    <d v="2021-10-13T00:00:00"/>
    <n v="149.99"/>
  </r>
  <r>
    <s v="TRX0123"/>
    <d v="2024-09-19T00:00:00"/>
    <s v="CUST041"/>
    <s v="Peter Richardson"/>
    <s v="P002"/>
    <x v="5"/>
    <x v="0"/>
    <n v="4"/>
    <n v="699.99"/>
    <x v="2"/>
    <x v="1"/>
    <s v="Basic"/>
    <d v="2022-02-26T00:00:00"/>
    <n v="2799.96"/>
  </r>
  <r>
    <s v="TRX0177"/>
    <d v="2024-09-24T00:00:00"/>
    <s v="CUST032"/>
    <s v="Sandra Phillips"/>
    <s v="P001"/>
    <x v="4"/>
    <x v="0"/>
    <n v="3"/>
    <n v="899.99"/>
    <x v="1"/>
    <x v="2"/>
    <s v="Standard"/>
    <d v="2023-08-19T00:00:00"/>
    <n v="2699.97"/>
  </r>
  <r>
    <s v="TRX0119"/>
    <d v="2024-09-25T00:00:00"/>
    <s v="CUST014"/>
    <s v="Linda Martin"/>
    <s v="P008"/>
    <x v="2"/>
    <x v="2"/>
    <n v="3"/>
    <n v="149.99"/>
    <x v="2"/>
    <x v="4"/>
    <s v="Basic"/>
    <d v="2022-11-21T00:00:00"/>
    <n v="449.97"/>
  </r>
  <r>
    <s v="TRX0181"/>
    <d v="2024-09-28T00:00:00"/>
    <s v="CUST012"/>
    <s v="Patricia Moore"/>
    <s v="P007"/>
    <x v="6"/>
    <x v="2"/>
    <n v="2"/>
    <n v="299.99"/>
    <x v="3"/>
    <x v="0"/>
    <s v="Basic"/>
    <d v="2022-01-08T00:00:00"/>
    <n v="599.98"/>
  </r>
  <r>
    <s v="TRX0129"/>
    <d v="2024-09-29T00:00:00"/>
    <s v="CUST015"/>
    <s v="Richard Lee"/>
    <s v="P006"/>
    <x v="9"/>
    <x v="2"/>
    <n v="1"/>
    <n v="199.99"/>
    <x v="3"/>
    <x v="4"/>
    <s v="Standard"/>
    <d v="2023-01-27T00:00:00"/>
    <n v="199.99"/>
  </r>
  <r>
    <s v="TRX0174"/>
    <d v="2024-10-01T00:00:00"/>
    <s v="CUST003"/>
    <s v="Michael Brown"/>
    <s v="P007"/>
    <x v="6"/>
    <x v="2"/>
    <n v="4"/>
    <n v="299.99"/>
    <x v="0"/>
    <x v="0"/>
    <s v="Premium"/>
    <d v="2021-09-21T00:00:00"/>
    <n v="1199.96"/>
  </r>
  <r>
    <s v="TRX0146"/>
    <d v="2024-10-07T00:00:00"/>
    <s v="CUST010"/>
    <s v="Maria Garcia"/>
    <s v="P005"/>
    <x v="1"/>
    <x v="1"/>
    <n v="2"/>
    <n v="59.99"/>
    <x v="1"/>
    <x v="0"/>
    <s v="Basic"/>
    <d v="2022-01-18T00:00:00"/>
    <n v="119.98"/>
  </r>
  <r>
    <s v="TRX0203"/>
    <d v="2024-10-07T00:00:00"/>
    <s v="CUST032"/>
    <s v="Sandra Phillips"/>
    <s v="P003"/>
    <x v="3"/>
    <x v="0"/>
    <n v="4"/>
    <n v="149.99"/>
    <x v="1"/>
    <x v="2"/>
    <s v="Premium"/>
    <d v="2023-05-30T00:00:00"/>
    <n v="599.96"/>
  </r>
  <r>
    <s v="TRX0055"/>
    <d v="2024-10-08T00:00:00"/>
    <s v="CUST016"/>
    <s v="Elizabeth Hall"/>
    <s v="P002"/>
    <x v="5"/>
    <x v="0"/>
    <n v="2"/>
    <n v="699.99"/>
    <x v="3"/>
    <x v="4"/>
    <s v="Premium"/>
    <d v="2023-12-14T00:00:00"/>
    <n v="1399.98"/>
  </r>
  <r>
    <s v="TRX0218"/>
    <d v="2024-10-08T00:00:00"/>
    <s v="CUST034"/>
    <s v="Carol Evans"/>
    <s v="P008"/>
    <x v="2"/>
    <x v="2"/>
    <n v="3"/>
    <n v="149.99"/>
    <x v="1"/>
    <x v="1"/>
    <s v="Standard"/>
    <d v="2023-01-14T00:00:00"/>
    <n v="449.97"/>
  </r>
  <r>
    <s v="TRX0085"/>
    <d v="2024-10-11T00:00:00"/>
    <s v="CUST019"/>
    <s v="Daniel King"/>
    <s v="P007"/>
    <x v="6"/>
    <x v="2"/>
    <n v="3"/>
    <n v="299.99"/>
    <x v="1"/>
    <x v="0"/>
    <s v="Standard"/>
    <d v="2023-09-05T00:00:00"/>
    <n v="899.97"/>
  </r>
  <r>
    <s v="TRX0158"/>
    <d v="2024-10-14T00:00:00"/>
    <s v="CUST027"/>
    <s v="George Adams"/>
    <s v="P001"/>
    <x v="4"/>
    <x v="0"/>
    <n v="3"/>
    <n v="899.99"/>
    <x v="2"/>
    <x v="3"/>
    <s v="Basic"/>
    <d v="2023-10-16T00:00:00"/>
    <n v="2699.97"/>
  </r>
  <r>
    <s v="TRX0173"/>
    <d v="2024-10-16T00:00:00"/>
    <s v="CUST018"/>
    <s v="Barbara Young"/>
    <s v="P002"/>
    <x v="5"/>
    <x v="0"/>
    <n v="5"/>
    <n v="699.99"/>
    <x v="0"/>
    <x v="4"/>
    <s v="Standard"/>
    <d v="2023-03-23T00:00:00"/>
    <n v="3499.95"/>
  </r>
  <r>
    <s v="TRX0034"/>
    <d v="2024-10-16T00:00:00"/>
    <s v="CUST049"/>
    <s v="Raymond Ross"/>
    <s v="P002"/>
    <x v="5"/>
    <x v="0"/>
    <n v="4"/>
    <n v="699.99"/>
    <x v="1"/>
    <x v="0"/>
    <s v="Basic"/>
    <d v="2024-04-03T00:00:00"/>
    <n v="2799.96"/>
  </r>
  <r>
    <s v="TRX0189"/>
    <d v="2024-10-16T00:00:00"/>
    <s v="CUST040"/>
    <s v="Sharon Butler"/>
    <s v="P001"/>
    <x v="4"/>
    <x v="0"/>
    <n v="1"/>
    <n v="899.99"/>
    <x v="1"/>
    <x v="4"/>
    <s v="Standard"/>
    <d v="2024-03-18T00:00:00"/>
    <n v="899.99"/>
  </r>
  <r>
    <s v="TRX0190"/>
    <d v="2024-10-18T00:00:00"/>
    <s v="CUST039"/>
    <s v="Lawrence Reed"/>
    <s v="P003"/>
    <x v="3"/>
    <x v="0"/>
    <n v="2"/>
    <n v="149.99"/>
    <x v="1"/>
    <x v="3"/>
    <s v="Basic"/>
    <d v="2022-12-21T00:00:00"/>
    <n v="299.98"/>
  </r>
  <r>
    <s v="TRX0079"/>
    <d v="2024-10-21T00:00:00"/>
    <s v="CUST039"/>
    <s v="Lawrence Reed"/>
    <s v="P010"/>
    <x v="8"/>
    <x v="0"/>
    <n v="3"/>
    <n v="89.99"/>
    <x v="2"/>
    <x v="0"/>
    <s v="Basic"/>
    <d v="2021-12-21T00:00:00"/>
    <n v="269.97000000000003"/>
  </r>
  <r>
    <s v="TRX0095"/>
    <d v="2024-10-23T00:00:00"/>
    <s v="CUST046"/>
    <s v="Kathleen Bennett"/>
    <s v="P003"/>
    <x v="3"/>
    <x v="0"/>
    <n v="2"/>
    <n v="149.99"/>
    <x v="2"/>
    <x v="0"/>
    <s v="Basic"/>
    <d v="2021-10-04T00:00:00"/>
    <n v="299.98"/>
  </r>
  <r>
    <s v="TRX0009"/>
    <d v="2024-10-23T00:00:00"/>
    <s v="CUST004"/>
    <s v="Sarah Davis"/>
    <s v="P002"/>
    <x v="5"/>
    <x v="0"/>
    <n v="2"/>
    <n v="699.99"/>
    <x v="0"/>
    <x v="0"/>
    <s v="Basic"/>
    <d v="2023-03-07T00:00:00"/>
    <n v="1399.98"/>
  </r>
  <r>
    <s v="TRX0167"/>
    <d v="2024-10-24T00:00:00"/>
    <s v="CUST028"/>
    <s v="Betty Campbell"/>
    <s v="P002"/>
    <x v="5"/>
    <x v="0"/>
    <n v="5"/>
    <n v="699.99"/>
    <x v="0"/>
    <x v="2"/>
    <s v="Premium"/>
    <d v="2022-03-15T00:00:00"/>
    <n v="3499.95"/>
  </r>
  <r>
    <s v="TRX0153"/>
    <d v="2024-10-27T00:00:00"/>
    <s v="CUST049"/>
    <s v="Raymond Ross"/>
    <s v="P010"/>
    <x v="8"/>
    <x v="0"/>
    <n v="3"/>
    <n v="89.99"/>
    <x v="1"/>
    <x v="2"/>
    <s v="Standard"/>
    <d v="2022-02-23T00:00:00"/>
    <n v="269.97000000000003"/>
  </r>
  <r>
    <s v="TRX0057"/>
    <d v="2024-11-01T00:00:00"/>
    <s v="CUST023"/>
    <s v="Paul Baker"/>
    <s v="P009"/>
    <x v="0"/>
    <x v="0"/>
    <n v="5"/>
    <n v="249.99"/>
    <x v="1"/>
    <x v="1"/>
    <s v="Standard"/>
    <d v="2022-11-16T00:00:00"/>
    <n v="1249.95"/>
  </r>
  <r>
    <s v="TRX0017"/>
    <d v="2024-11-04T00:00:00"/>
    <s v="CUST026"/>
    <s v="Karen Hill"/>
    <s v="P007"/>
    <x v="6"/>
    <x v="2"/>
    <n v="3"/>
    <n v="299.99"/>
    <x v="1"/>
    <x v="1"/>
    <s v="Standard"/>
    <d v="2021-11-02T00:00:00"/>
    <n v="899.97"/>
  </r>
  <r>
    <s v="TRX0060"/>
    <d v="2024-11-07T00:00:00"/>
    <s v="CUST012"/>
    <s v="Patricia Moore"/>
    <s v="P010"/>
    <x v="8"/>
    <x v="0"/>
    <n v="3"/>
    <n v="89.99"/>
    <x v="1"/>
    <x v="2"/>
    <s v="Premium"/>
    <d v="2021-08-12T00:00:00"/>
    <n v="269.97000000000003"/>
  </r>
  <r>
    <s v="TRX0109"/>
    <d v="2024-11-08T00:00:00"/>
    <s v="CUST010"/>
    <s v="Maria Garcia"/>
    <s v="P008"/>
    <x v="2"/>
    <x v="2"/>
    <n v="2"/>
    <n v="149.99"/>
    <x v="1"/>
    <x v="3"/>
    <s v="Premium"/>
    <d v="2022-10-14T00:00:00"/>
    <n v="299.98"/>
  </r>
  <r>
    <s v="TRX0090"/>
    <d v="2024-11-09T00:00:00"/>
    <s v="CUST020"/>
    <s v="Margaret Wright"/>
    <s v="P009"/>
    <x v="0"/>
    <x v="0"/>
    <n v="1"/>
    <n v="249.99"/>
    <x v="1"/>
    <x v="2"/>
    <s v="Premium"/>
    <d v="2022-09-24T00:00:00"/>
    <n v="249.99"/>
  </r>
  <r>
    <s v="TRX0035"/>
    <d v="2024-11-11T00:00:00"/>
    <s v="CUST041"/>
    <s v="Peter Richardson"/>
    <s v="P003"/>
    <x v="3"/>
    <x v="0"/>
    <n v="3"/>
    <n v="149.99"/>
    <x v="0"/>
    <x v="2"/>
    <s v="Basic"/>
    <d v="2022-07-27T00:00:00"/>
    <n v="449.97"/>
  </r>
  <r>
    <s v="TRX0172"/>
    <d v="2024-11-11T00:00:00"/>
    <s v="CUST023"/>
    <s v="Paul Baker"/>
    <s v="P005"/>
    <x v="1"/>
    <x v="1"/>
    <n v="5"/>
    <n v="59.99"/>
    <x v="2"/>
    <x v="3"/>
    <s v="Premium"/>
    <d v="2022-05-13T00:00:00"/>
    <n v="299.95"/>
  </r>
  <r>
    <s v="TRX0076"/>
    <d v="2024-11-11T00:00:00"/>
    <s v="CUST012"/>
    <s v="Patricia Moore"/>
    <s v="P009"/>
    <x v="0"/>
    <x v="0"/>
    <n v="4"/>
    <n v="249.99"/>
    <x v="1"/>
    <x v="3"/>
    <s v="Standard"/>
    <d v="2022-04-08T00:00:00"/>
    <n v="999.96"/>
  </r>
  <r>
    <s v="TRX0210"/>
    <d v="2024-11-12T00:00:00"/>
    <s v="CUST004"/>
    <s v="Sarah Davis"/>
    <s v="P008"/>
    <x v="2"/>
    <x v="2"/>
    <n v="5"/>
    <n v="149.99"/>
    <x v="2"/>
    <x v="0"/>
    <s v="Basic"/>
    <d v="2022-12-06T00:00:00"/>
    <n v="749.95"/>
  </r>
  <r>
    <s v="TRX0149"/>
    <d v="2024-11-12T00:00:00"/>
    <s v="CUST027"/>
    <s v="George Adams"/>
    <s v="P005"/>
    <x v="1"/>
    <x v="1"/>
    <n v="3"/>
    <n v="59.99"/>
    <x v="3"/>
    <x v="1"/>
    <s v="Standard"/>
    <d v="2023-11-30T00:00:00"/>
    <n v="179.97"/>
  </r>
  <r>
    <s v="TRX0073"/>
    <d v="2024-11-17T00:00:00"/>
    <s v="CUST032"/>
    <s v="Sandra Phillips"/>
    <s v="P008"/>
    <x v="2"/>
    <x v="2"/>
    <n v="5"/>
    <n v="149.99"/>
    <x v="0"/>
    <x v="2"/>
    <s v="Basic"/>
    <d v="2022-11-04T00:00:00"/>
    <n v="749.95"/>
  </r>
  <r>
    <s v="TRX0033"/>
    <d v="2024-11-17T00:00:00"/>
    <s v="CUST025"/>
    <s v="Mark Carter"/>
    <s v="P002"/>
    <x v="5"/>
    <x v="0"/>
    <n v="2"/>
    <n v="699.99"/>
    <x v="2"/>
    <x v="3"/>
    <s v="Standard"/>
    <d v="2022-07-28T00:00:00"/>
    <n v="1399.98"/>
  </r>
  <r>
    <s v="TRX0160"/>
    <d v="2024-11-21T00:00:00"/>
    <s v="CUST029"/>
    <s v="Edward Mitchell"/>
    <s v="P006"/>
    <x v="9"/>
    <x v="2"/>
    <n v="4"/>
    <n v="199.99"/>
    <x v="3"/>
    <x v="0"/>
    <s v="Premium"/>
    <d v="2021-08-19T00:00:00"/>
    <n v="799.96"/>
  </r>
  <r>
    <s v="TRX0145"/>
    <d v="2024-11-23T00:00:00"/>
    <s v="CUST033"/>
    <s v="Frank Torres"/>
    <s v="P005"/>
    <x v="1"/>
    <x v="1"/>
    <n v="1"/>
    <n v="59.99"/>
    <x v="3"/>
    <x v="3"/>
    <s v="Standard"/>
    <d v="2021-12-30T00:00:00"/>
    <n v="59.99"/>
  </r>
  <r>
    <s v="TRX0148"/>
    <d v="2024-11-23T00:00:00"/>
    <s v="CUST004"/>
    <s v="Sarah Davis"/>
    <s v="P002"/>
    <x v="5"/>
    <x v="0"/>
    <n v="3"/>
    <n v="699.99"/>
    <x v="2"/>
    <x v="3"/>
    <s v="Standard"/>
    <d v="2022-01-22T00:00:00"/>
    <n v="2099.9699999999998"/>
  </r>
  <r>
    <s v="TRX0012"/>
    <d v="2024-11-26T00:00:00"/>
    <s v="CUST045"/>
    <s v="Douglas Watson"/>
    <s v="P009"/>
    <x v="0"/>
    <x v="0"/>
    <n v="5"/>
    <n v="249.99"/>
    <x v="1"/>
    <x v="2"/>
    <s v="Basic"/>
    <d v="2022-11-08T00:00:00"/>
    <n v="1249.95"/>
  </r>
  <r>
    <s v="TRX0206"/>
    <d v="2024-11-27T00:00:00"/>
    <s v="CUST014"/>
    <s v="Linda Martin"/>
    <s v="P008"/>
    <x v="2"/>
    <x v="2"/>
    <n v="2"/>
    <n v="149.99"/>
    <x v="0"/>
    <x v="1"/>
    <s v="Standard"/>
    <d v="2023-06-24T00:00:00"/>
    <n v="299.98"/>
  </r>
  <r>
    <s v="TRX0045"/>
    <d v="2024-12-01T00:00:00"/>
    <s v="CUST021"/>
    <s v="Kevin Scott"/>
    <s v="P007"/>
    <x v="6"/>
    <x v="2"/>
    <n v="3"/>
    <n v="299.99"/>
    <x v="0"/>
    <x v="1"/>
    <s v="Premium"/>
    <d v="2022-04-08T00:00:00"/>
    <n v="899.97"/>
  </r>
  <r>
    <s v="TRX0094"/>
    <d v="2024-12-01T00:00:00"/>
    <s v="CUST017"/>
    <s v="Charles Allen"/>
    <s v="P009"/>
    <x v="0"/>
    <x v="0"/>
    <n v="5"/>
    <n v="249.99"/>
    <x v="0"/>
    <x v="0"/>
    <s v="Premium"/>
    <d v="2021-10-16T00:00:00"/>
    <n v="1249.95"/>
  </r>
  <r>
    <s v="TRX0133"/>
    <d v="2024-12-01T00:00:00"/>
    <s v="CUST013"/>
    <s v="Joseph Jackson"/>
    <s v="P003"/>
    <x v="3"/>
    <x v="0"/>
    <n v="2"/>
    <n v="149.99"/>
    <x v="0"/>
    <x v="1"/>
    <s v="Premium"/>
    <d v="2021-10-06T00:00:00"/>
    <n v="299.98"/>
  </r>
  <r>
    <s v="TRX0201"/>
    <d v="2024-12-01T00:00:00"/>
    <s v="CUST025"/>
    <s v="Mark Carter"/>
    <s v="P002"/>
    <x v="5"/>
    <x v="0"/>
    <n v="5"/>
    <n v="699.99"/>
    <x v="3"/>
    <x v="3"/>
    <s v="Standard"/>
    <d v="2023-01-18T00:00:00"/>
    <n v="3499.95"/>
  </r>
  <r>
    <s v="TRX0137"/>
    <d v="2024-12-03T00:00:00"/>
    <s v="CUST011"/>
    <s v="William White"/>
    <s v="P009"/>
    <x v="0"/>
    <x v="0"/>
    <n v="4"/>
    <n v="249.99"/>
    <x v="2"/>
    <x v="4"/>
    <s v="Premium"/>
    <d v="2023-06-21T00:00:00"/>
    <n v="999.96"/>
  </r>
  <r>
    <s v="TRX0066"/>
    <d v="2024-12-04T00:00:00"/>
    <s v="CUST024"/>
    <s v="Dorothy Nelson"/>
    <s v="P002"/>
    <x v="5"/>
    <x v="0"/>
    <n v="4"/>
    <n v="699.99"/>
    <x v="1"/>
    <x v="2"/>
    <s v="Premium"/>
    <d v="2022-05-22T00:00:00"/>
    <n v="2799.96"/>
  </r>
  <r>
    <s v="TRX0180"/>
    <d v="2024-12-09T00:00:00"/>
    <s v="CUST036"/>
    <s v="Nancy Collins"/>
    <s v="P009"/>
    <x v="0"/>
    <x v="0"/>
    <n v="2"/>
    <n v="249.99"/>
    <x v="1"/>
    <x v="0"/>
    <s v="Premium"/>
    <d v="2021-07-19T00:00:00"/>
    <n v="499.98"/>
  </r>
  <r>
    <s v="TRX0082"/>
    <d v="2024-12-09T00:00:00"/>
    <s v="CUST005"/>
    <s v="James Johnson"/>
    <s v="P005"/>
    <x v="1"/>
    <x v="1"/>
    <n v="3"/>
    <n v="59.99"/>
    <x v="0"/>
    <x v="0"/>
    <s v="Premium"/>
    <d v="2023-05-06T00:00:00"/>
    <n v="179.97"/>
  </r>
  <r>
    <s v="TRX0036"/>
    <d v="2024-12-09T00:00:00"/>
    <s v="CUST008"/>
    <s v="Jennifer Taylor"/>
    <s v="P004"/>
    <x v="7"/>
    <x v="1"/>
    <n v="4"/>
    <n v="79.989999999999995"/>
    <x v="3"/>
    <x v="4"/>
    <s v="Standard"/>
    <d v="2022-12-26T00:00:00"/>
    <n v="319.95999999999998"/>
  </r>
  <r>
    <s v="TRX0198"/>
    <d v="2024-12-10T00:00:00"/>
    <s v="CUST030"/>
    <s v="Helen Roberts"/>
    <s v="P004"/>
    <x v="7"/>
    <x v="1"/>
    <n v="3"/>
    <n v="79.989999999999995"/>
    <x v="3"/>
    <x v="4"/>
    <s v="Standard"/>
    <d v="2022-08-06T00:00:00"/>
    <n v="239.97"/>
  </r>
  <r>
    <s v="TRX0032"/>
    <d v="2024-12-12T00:00:00"/>
    <s v="CUST041"/>
    <s v="Peter Richardson"/>
    <s v="P001"/>
    <x v="4"/>
    <x v="0"/>
    <n v="2"/>
    <n v="899.99"/>
    <x v="0"/>
    <x v="2"/>
    <s v="Basic"/>
    <d v="2021-07-29T00:00:00"/>
    <n v="1799.98"/>
  </r>
  <r>
    <s v="TRX0081"/>
    <d v="2024-12-15T00:00:00"/>
    <s v="CUST007"/>
    <s v="David Martinez"/>
    <s v="P008"/>
    <x v="2"/>
    <x v="2"/>
    <n v="1"/>
    <n v="149.99"/>
    <x v="3"/>
    <x v="4"/>
    <s v="Standard"/>
    <d v="2023-10-01T00:00:00"/>
    <n v="149.99"/>
  </r>
  <r>
    <s v="TRX0224"/>
    <d v="2024-12-15T00:00:00"/>
    <s v="CUST031"/>
    <s v="Steven Turner"/>
    <s v="P007"/>
    <x v="6"/>
    <x v="2"/>
    <n v="2"/>
    <n v="299.99"/>
    <x v="0"/>
    <x v="4"/>
    <s v="Premium"/>
    <d v="2022-06-12T00:00:00"/>
    <n v="599.98"/>
  </r>
  <r>
    <s v="TRX0028"/>
    <d v="2024-12-18T00:00:00"/>
    <s v="CUST002"/>
    <s v="Emma Wilson"/>
    <s v="P005"/>
    <x v="1"/>
    <x v="1"/>
    <n v="2"/>
    <n v="59.99"/>
    <x v="0"/>
    <x v="3"/>
    <s v="Basic"/>
    <d v="2023-09-22T00:00:00"/>
    <n v="119.98"/>
  </r>
  <r>
    <s v="TRX0183"/>
    <d v="2024-12-19T00:00:00"/>
    <s v="CUST007"/>
    <s v="David Martinez"/>
    <s v="P010"/>
    <x v="8"/>
    <x v="0"/>
    <n v="1"/>
    <n v="89.99"/>
    <x v="3"/>
    <x v="0"/>
    <s v="Standard"/>
    <d v="2022-07-18T00:00:00"/>
    <n v="89.99"/>
  </r>
  <r>
    <s v="TRX0163"/>
    <d v="2024-12-19T00:00:00"/>
    <s v="CUST019"/>
    <s v="Daniel King"/>
    <s v="P001"/>
    <x v="4"/>
    <x v="0"/>
    <n v="5"/>
    <n v="899.99"/>
    <x v="3"/>
    <x v="4"/>
    <s v="Standard"/>
    <d v="2022-03-05T00:00:00"/>
    <n v="4499.95"/>
  </r>
  <r>
    <s v="TRX0046"/>
    <d v="2024-12-20T00:00:00"/>
    <s v="CUST003"/>
    <s v="Michael Brown"/>
    <s v="P008"/>
    <x v="2"/>
    <x v="2"/>
    <n v="2"/>
    <n v="149.99"/>
    <x v="0"/>
    <x v="1"/>
    <s v="Basic"/>
    <d v="2023-11-09T00:00:00"/>
    <n v="299.98"/>
  </r>
  <r>
    <s v="TRX0164"/>
    <d v="2024-12-22T00:00:00"/>
    <s v="CUST014"/>
    <s v="Linda Martin"/>
    <s v="P003"/>
    <x v="3"/>
    <x v="0"/>
    <n v="2"/>
    <n v="149.99"/>
    <x v="3"/>
    <x v="3"/>
    <s v="Premium"/>
    <d v="2023-12-20T00:00:00"/>
    <n v="299.98"/>
  </r>
  <r>
    <s v="TRX0008"/>
    <d v="2024-12-22T00:00:00"/>
    <s v="CUST007"/>
    <s v="David Martinez"/>
    <s v="P008"/>
    <x v="2"/>
    <x v="2"/>
    <n v="3"/>
    <n v="149.99"/>
    <x v="3"/>
    <x v="2"/>
    <s v="Standard"/>
    <d v="2021-11-22T00:00:00"/>
    <n v="449.97"/>
  </r>
  <r>
    <s v="TRX0171"/>
    <d v="2024-12-23T00:00:00"/>
    <s v="CUST021"/>
    <s v="Kevin Scott"/>
    <s v="P007"/>
    <x v="6"/>
    <x v="2"/>
    <n v="2"/>
    <n v="299.99"/>
    <x v="2"/>
    <x v="1"/>
    <s v="Basic"/>
    <d v="2022-06-09T00:00:00"/>
    <n v="599.98"/>
  </r>
  <r>
    <s v="TRX0143"/>
    <d v="2024-12-28T00:00:00"/>
    <s v="CUST003"/>
    <s v="Michael Brown"/>
    <s v="P007"/>
    <x v="6"/>
    <x v="2"/>
    <n v="2"/>
    <n v="299.99"/>
    <x v="0"/>
    <x v="3"/>
    <s v="Basic"/>
    <d v="2022-07-29T00:00:00"/>
    <n v="599.98"/>
  </r>
  <r>
    <s v="TRX0165"/>
    <d v="2024-12-28T00:00:00"/>
    <s v="CUST030"/>
    <s v="Helen Roberts"/>
    <s v="P006"/>
    <x v="9"/>
    <x v="2"/>
    <n v="4"/>
    <n v="199.99"/>
    <x v="1"/>
    <x v="0"/>
    <s v="Basic"/>
    <d v="2021-11-23T00:00:00"/>
    <n v="799.96"/>
  </r>
  <r>
    <s v="TRX0156"/>
    <d v="2024-12-29T00:00:00"/>
    <s v="CUST009"/>
    <s v="Robert Thomas"/>
    <s v="P010"/>
    <x v="8"/>
    <x v="0"/>
    <n v="1"/>
    <n v="89.99"/>
    <x v="1"/>
    <x v="1"/>
    <s v="Premium"/>
    <d v="2022-01-30T00:00:00"/>
    <n v="89.99"/>
  </r>
  <r>
    <s v="TRX0147"/>
    <d v="2024-12-29T00:00:00"/>
    <s v="CUST036"/>
    <s v="Nancy Collins"/>
    <s v="P008"/>
    <x v="2"/>
    <x v="2"/>
    <n v="5"/>
    <n v="149.99"/>
    <x v="0"/>
    <x v="0"/>
    <s v="Premium"/>
    <d v="2024-02-25T00:00:00"/>
    <n v="749.95"/>
  </r>
  <r>
    <s v="TRX0207"/>
    <d v="2024-12-31T00:00:00"/>
    <s v="CUST025"/>
    <s v="Mark Carter"/>
    <s v="P001"/>
    <x v="4"/>
    <x v="0"/>
    <n v="1"/>
    <n v="899.99"/>
    <x v="2"/>
    <x v="2"/>
    <s v="Premium"/>
    <d v="2023-05-04T00:00:00"/>
    <n v="899.99"/>
  </r>
  <r>
    <s v="TRX0056"/>
    <d v="2025-01-03T00:00:00"/>
    <s v="CUST019"/>
    <s v="Daniel King"/>
    <s v="P010"/>
    <x v="8"/>
    <x v="0"/>
    <n v="2"/>
    <n v="89.99"/>
    <x v="1"/>
    <x v="1"/>
    <s v="Premium"/>
    <d v="2022-01-03T00:00:00"/>
    <n v="179.98"/>
  </r>
  <r>
    <s v="TRX0026"/>
    <d v="2025-01-04T00:00:00"/>
    <s v="CUST037"/>
    <s v="Arthur Edwards"/>
    <s v="P001"/>
    <x v="4"/>
    <x v="0"/>
    <n v="1"/>
    <n v="899.99"/>
    <x v="2"/>
    <x v="2"/>
    <s v="Standard"/>
    <d v="2022-07-10T00:00:00"/>
    <n v="899.99"/>
  </r>
  <r>
    <s v="TRX0237"/>
    <d v="2025-01-06T00:00:00"/>
    <s v="CUST006"/>
    <s v="Lisa Anderson"/>
    <s v="P003"/>
    <x v="3"/>
    <x v="0"/>
    <n v="5"/>
    <n v="149.99"/>
    <x v="2"/>
    <x v="4"/>
    <s v="Premium"/>
    <d v="2022-09-20T00:00:00"/>
    <n v="749.95"/>
  </r>
  <r>
    <s v="TRX0091"/>
    <d v="2025-01-06T00:00:00"/>
    <s v="CUST003"/>
    <s v="Michael Brown"/>
    <s v="P007"/>
    <x v="6"/>
    <x v="2"/>
    <n v="3"/>
    <n v="299.99"/>
    <x v="0"/>
    <x v="1"/>
    <s v="Standard"/>
    <d v="2021-08-14T00:00:00"/>
    <n v="899.97"/>
  </r>
  <r>
    <s v="TRX0125"/>
    <d v="2025-01-09T00:00:00"/>
    <s v="CUST026"/>
    <s v="Karen Hill"/>
    <s v="P002"/>
    <x v="5"/>
    <x v="0"/>
    <n v="3"/>
    <n v="699.99"/>
    <x v="1"/>
    <x v="0"/>
    <s v="Premium"/>
    <d v="2023-06-28T00:00:00"/>
    <n v="2099.9699999999998"/>
  </r>
  <r>
    <s v="TRX0223"/>
    <d v="2025-01-10T00:00:00"/>
    <s v="CUST036"/>
    <s v="Nancy Collins"/>
    <s v="P006"/>
    <x v="9"/>
    <x v="2"/>
    <n v="5"/>
    <n v="199.99"/>
    <x v="2"/>
    <x v="0"/>
    <s v="Standard"/>
    <d v="2022-03-13T00:00:00"/>
    <n v="999.95"/>
  </r>
  <r>
    <s v="TRX0243"/>
    <d v="2025-01-10T00:00:00"/>
    <s v="CUST048"/>
    <s v="Virginia Sanders"/>
    <s v="P009"/>
    <x v="0"/>
    <x v="0"/>
    <n v="5"/>
    <n v="249.99"/>
    <x v="1"/>
    <x v="1"/>
    <s v="Basic"/>
    <d v="2024-02-08T00:00:00"/>
    <n v="1249.95"/>
  </r>
  <r>
    <s v="TRX0084"/>
    <d v="2025-01-11T00:00:00"/>
    <s v="CUST031"/>
    <s v="Steven Turner"/>
    <s v="P003"/>
    <x v="3"/>
    <x v="0"/>
    <n v="4"/>
    <n v="149.99"/>
    <x v="3"/>
    <x v="4"/>
    <s v="Standard"/>
    <d v="2021-12-06T00:00:00"/>
    <n v="599.96"/>
  </r>
  <r>
    <s v="TRX0238"/>
    <d v="2025-01-11T00:00:00"/>
    <s v="CUST038"/>
    <s v="Michelle Rogers"/>
    <s v="P002"/>
    <x v="5"/>
    <x v="0"/>
    <n v="3"/>
    <n v="699.99"/>
    <x v="0"/>
    <x v="2"/>
    <s v="Premium"/>
    <d v="2022-02-10T00:00:00"/>
    <n v="2099.9699999999998"/>
  </r>
  <r>
    <s v="TRX0102"/>
    <d v="2025-01-13T00:00:00"/>
    <s v="CUST045"/>
    <s v="Douglas Watson"/>
    <s v="P004"/>
    <x v="7"/>
    <x v="1"/>
    <n v="1"/>
    <n v="79.989999999999995"/>
    <x v="1"/>
    <x v="1"/>
    <s v="Basic"/>
    <d v="2024-01-31T00:00:00"/>
    <n v="79.989999999999995"/>
  </r>
  <r>
    <s v="TRX0022"/>
    <d v="2025-01-13T00:00:00"/>
    <s v="CUST025"/>
    <s v="Mark Carter"/>
    <s v="P007"/>
    <x v="6"/>
    <x v="2"/>
    <n v="1"/>
    <n v="299.99"/>
    <x v="1"/>
    <x v="2"/>
    <s v="Basic"/>
    <d v="2021-08-28T00:00:00"/>
    <n v="299.99"/>
  </r>
  <r>
    <s v="TRX0087"/>
    <d v="2025-01-14T00:00:00"/>
    <s v="CUST028"/>
    <s v="Betty Campbell"/>
    <s v="P009"/>
    <x v="0"/>
    <x v="0"/>
    <n v="4"/>
    <n v="249.99"/>
    <x v="1"/>
    <x v="2"/>
    <s v="Premium"/>
    <d v="2021-09-21T00:00:00"/>
    <n v="999.96"/>
  </r>
  <r>
    <s v="TRX0107"/>
    <d v="2025-01-14T00:00:00"/>
    <s v="CUST030"/>
    <s v="Helen Roberts"/>
    <s v="P003"/>
    <x v="3"/>
    <x v="0"/>
    <n v="2"/>
    <n v="149.99"/>
    <x v="0"/>
    <x v="2"/>
    <s v="Standard"/>
    <d v="2022-12-18T00:00:00"/>
    <n v="299.98"/>
  </r>
  <r>
    <s v="TRX0051"/>
    <d v="2025-01-14T00:00:00"/>
    <s v="CUST032"/>
    <s v="Sandra Phillips"/>
    <s v="P007"/>
    <x v="6"/>
    <x v="2"/>
    <n v="3"/>
    <n v="299.99"/>
    <x v="1"/>
    <x v="1"/>
    <s v="Basic"/>
    <d v="2023-10-05T00:00:00"/>
    <n v="899.97"/>
  </r>
  <r>
    <s v="TRX0106"/>
    <d v="2025-01-16T00:00:00"/>
    <s v="CUST039"/>
    <s v="Lawrence Reed"/>
    <s v="P006"/>
    <x v="9"/>
    <x v="2"/>
    <n v="4"/>
    <n v="199.99"/>
    <x v="3"/>
    <x v="1"/>
    <s v="Standard"/>
    <d v="2021-12-14T00:00:00"/>
    <n v="799.96"/>
  </r>
  <r>
    <s v="TRX0059"/>
    <d v="2025-01-16T00:00:00"/>
    <s v="CUST016"/>
    <s v="Elizabeth Hall"/>
    <s v="P007"/>
    <x v="6"/>
    <x v="2"/>
    <n v="5"/>
    <n v="299.99"/>
    <x v="3"/>
    <x v="0"/>
    <s v="Basic"/>
    <d v="2021-08-23T00:00:00"/>
    <n v="1499.95"/>
  </r>
  <r>
    <s v="TRX0072"/>
    <d v="2025-01-16T00:00:00"/>
    <s v="CUST009"/>
    <s v="Robert Thomas"/>
    <s v="P008"/>
    <x v="2"/>
    <x v="2"/>
    <n v="3"/>
    <n v="149.99"/>
    <x v="1"/>
    <x v="4"/>
    <s v="Standard"/>
    <d v="2021-07-18T00:00:00"/>
    <n v="449.97"/>
  </r>
  <r>
    <s v="TRX0110"/>
    <d v="2025-01-19T00:00:00"/>
    <s v="CUST006"/>
    <s v="Lisa Anderson"/>
    <s v="P005"/>
    <x v="1"/>
    <x v="1"/>
    <n v="5"/>
    <n v="59.99"/>
    <x v="3"/>
    <x v="4"/>
    <s v="Basic"/>
    <d v="2022-03-22T00:00:00"/>
    <n v="299.95"/>
  </r>
  <r>
    <s v="TRX0126"/>
    <d v="2025-01-25T00:00:00"/>
    <s v="CUST022"/>
    <s v="Susan Green"/>
    <s v="P005"/>
    <x v="1"/>
    <x v="1"/>
    <n v="4"/>
    <n v="59.99"/>
    <x v="3"/>
    <x v="4"/>
    <s v="Standard"/>
    <d v="2022-01-03T00:00:00"/>
    <n v="239.96"/>
  </r>
  <r>
    <s v="TRX0159"/>
    <d v="2025-01-26T00:00:00"/>
    <s v="CUST024"/>
    <s v="Dorothy Nelson"/>
    <s v="P009"/>
    <x v="0"/>
    <x v="0"/>
    <n v="4"/>
    <n v="249.99"/>
    <x v="3"/>
    <x v="0"/>
    <s v="Premium"/>
    <d v="2023-10-18T00:00:00"/>
    <n v="999.96"/>
  </r>
  <r>
    <s v="TRX0030"/>
    <d v="2025-01-29T00:00:00"/>
    <s v="CUST011"/>
    <s v="William White"/>
    <s v="P001"/>
    <x v="4"/>
    <x v="0"/>
    <n v="4"/>
    <n v="899.99"/>
    <x v="2"/>
    <x v="0"/>
    <s v="Basic"/>
    <d v="2022-06-22T00:00:00"/>
    <n v="3599.96"/>
  </r>
  <r>
    <s v="TRX0178"/>
    <d v="2025-01-29T00:00:00"/>
    <s v="CUST025"/>
    <s v="Mark Carter"/>
    <s v="P007"/>
    <x v="6"/>
    <x v="2"/>
    <n v="3"/>
    <n v="299.99"/>
    <x v="3"/>
    <x v="3"/>
    <s v="Standard"/>
    <d v="2023-01-26T00:00:00"/>
    <n v="899.97"/>
  </r>
  <r>
    <s v="TRX0188"/>
    <d v="2025-01-29T00:00:00"/>
    <s v="CUST045"/>
    <s v="Douglas Watson"/>
    <s v="P002"/>
    <x v="5"/>
    <x v="0"/>
    <n v="2"/>
    <n v="699.99"/>
    <x v="3"/>
    <x v="0"/>
    <s v="Premium"/>
    <d v="2022-04-30T00:00:00"/>
    <n v="1399.98"/>
  </r>
  <r>
    <s v="TRX0010"/>
    <d v="2025-01-31T00:00:00"/>
    <s v="CUST026"/>
    <s v="Karen Hill"/>
    <s v="P002"/>
    <x v="5"/>
    <x v="0"/>
    <n v="4"/>
    <n v="699.99"/>
    <x v="3"/>
    <x v="3"/>
    <s v="Premium"/>
    <d v="2022-05-11T00:00:00"/>
    <n v="2799.96"/>
  </r>
  <r>
    <s v="TRX0069"/>
    <d v="2025-01-31T00:00:00"/>
    <s v="CUST029"/>
    <s v="Edward Mitchell"/>
    <s v="P010"/>
    <x v="8"/>
    <x v="0"/>
    <n v="2"/>
    <n v="89.99"/>
    <x v="3"/>
    <x v="1"/>
    <s v="Basic"/>
    <d v="2022-08-04T00:00:00"/>
    <n v="179.98"/>
  </r>
  <r>
    <s v="TRX0166"/>
    <d v="2025-01-31T00:00:00"/>
    <s v="CUST003"/>
    <s v="Michael Brown"/>
    <s v="P010"/>
    <x v="8"/>
    <x v="0"/>
    <n v="3"/>
    <n v="89.99"/>
    <x v="3"/>
    <x v="1"/>
    <s v="Premium"/>
    <d v="2024-01-16T00:00:00"/>
    <n v="269.97000000000003"/>
  </r>
  <r>
    <s v="TRX0219"/>
    <d v="2025-02-04T00:00:00"/>
    <s v="CUST037"/>
    <s v="Arthur Edwards"/>
    <s v="P005"/>
    <x v="1"/>
    <x v="1"/>
    <n v="1"/>
    <n v="59.99"/>
    <x v="3"/>
    <x v="0"/>
    <s v="Standard"/>
    <d v="2023-04-29T00:00:00"/>
    <n v="59.99"/>
  </r>
  <r>
    <s v="TRX0024"/>
    <d v="2025-02-07T00:00:00"/>
    <s v="CUST042"/>
    <s v="Ruth Brooks"/>
    <s v="P008"/>
    <x v="2"/>
    <x v="2"/>
    <n v="3"/>
    <n v="149.99"/>
    <x v="3"/>
    <x v="2"/>
    <s v="Premium"/>
    <d v="2022-01-03T00:00:00"/>
    <n v="449.97"/>
  </r>
  <r>
    <s v="TRX0105"/>
    <d v="2025-02-07T00:00:00"/>
    <s v="CUST048"/>
    <s v="Virginia Sanders"/>
    <s v="P007"/>
    <x v="6"/>
    <x v="2"/>
    <n v="5"/>
    <n v="299.99"/>
    <x v="1"/>
    <x v="1"/>
    <s v="Basic"/>
    <d v="2023-02-02T00:00:00"/>
    <n v="1499.95"/>
  </r>
  <r>
    <s v="TRX0011"/>
    <d v="2025-02-08T00:00:00"/>
    <s v="CUST040"/>
    <s v="Sharon Butler"/>
    <s v="P005"/>
    <x v="1"/>
    <x v="1"/>
    <n v="5"/>
    <n v="59.99"/>
    <x v="3"/>
    <x v="0"/>
    <s v="Standard"/>
    <d v="2023-09-08T00:00:00"/>
    <n v="299.95"/>
  </r>
  <r>
    <s v="TRX0187"/>
    <d v="2025-02-13T00:00:00"/>
    <s v="CUST036"/>
    <s v="Nancy Collins"/>
    <s v="P004"/>
    <x v="7"/>
    <x v="1"/>
    <n v="3"/>
    <n v="79.989999999999995"/>
    <x v="0"/>
    <x v="4"/>
    <s v="Premium"/>
    <d v="2021-08-28T00:00:00"/>
    <n v="239.97"/>
  </r>
  <r>
    <s v="TRX0089"/>
    <d v="2025-02-16T00:00:00"/>
    <s v="CUST021"/>
    <s v="Kevin Scott"/>
    <s v="P006"/>
    <x v="9"/>
    <x v="2"/>
    <n v="3"/>
    <n v="199.99"/>
    <x v="0"/>
    <x v="0"/>
    <s v="Basic"/>
    <d v="2022-06-23T00:00:00"/>
    <n v="599.97"/>
  </r>
  <r>
    <s v="TRX0196"/>
    <d v="2025-02-16T00:00:00"/>
    <s v="CUST023"/>
    <s v="Paul Baker"/>
    <s v="P010"/>
    <x v="8"/>
    <x v="0"/>
    <n v="2"/>
    <n v="89.99"/>
    <x v="2"/>
    <x v="0"/>
    <s v="Basic"/>
    <d v="2023-11-27T00:00:00"/>
    <n v="179.98"/>
  </r>
  <r>
    <s v="TRX0118"/>
    <d v="2025-02-17T00:00:00"/>
    <s v="CUST015"/>
    <s v="Richard Lee"/>
    <s v="P008"/>
    <x v="2"/>
    <x v="2"/>
    <n v="2"/>
    <n v="149.99"/>
    <x v="0"/>
    <x v="1"/>
    <s v="Premium"/>
    <d v="2022-06-16T00:00:00"/>
    <n v="299.98"/>
  </r>
  <r>
    <s v="TRX0179"/>
    <d v="2025-02-19T00:00:00"/>
    <s v="CUST029"/>
    <s v="Edward Mitchell"/>
    <s v="P002"/>
    <x v="5"/>
    <x v="0"/>
    <n v="5"/>
    <n v="699.99"/>
    <x v="2"/>
    <x v="1"/>
    <s v="Premium"/>
    <d v="2024-03-01T00:00:00"/>
    <n v="3499.95"/>
  </r>
  <r>
    <s v="TRX0168"/>
    <d v="2025-02-19T00:00:00"/>
    <s v="CUST003"/>
    <s v="Michael Brown"/>
    <s v="P008"/>
    <x v="2"/>
    <x v="2"/>
    <n v="3"/>
    <n v="149.99"/>
    <x v="2"/>
    <x v="0"/>
    <s v="Standard"/>
    <d v="2022-03-13T00:00:00"/>
    <n v="449.97"/>
  </r>
  <r>
    <s v="TRX0214"/>
    <d v="2025-02-20T00:00:00"/>
    <s v="CUST018"/>
    <s v="Barbara Young"/>
    <s v="P001"/>
    <x v="4"/>
    <x v="0"/>
    <n v="3"/>
    <n v="899.99"/>
    <x v="0"/>
    <x v="4"/>
    <s v="Standard"/>
    <d v="2022-02-21T00:00:00"/>
    <n v="2699.97"/>
  </r>
  <r>
    <s v="TRX0221"/>
    <d v="2025-02-20T00:00:00"/>
    <s v="CUST033"/>
    <s v="Frank Torres"/>
    <s v="P006"/>
    <x v="9"/>
    <x v="2"/>
    <n v="3"/>
    <n v="199.99"/>
    <x v="0"/>
    <x v="3"/>
    <s v="Premium"/>
    <d v="2022-09-19T00:00:00"/>
    <n v="599.97"/>
  </r>
  <r>
    <s v="TRX0083"/>
    <d v="2025-02-22T00:00:00"/>
    <s v="CUST017"/>
    <s v="Charles Allen"/>
    <s v="P007"/>
    <x v="6"/>
    <x v="2"/>
    <n v="5"/>
    <n v="299.99"/>
    <x v="0"/>
    <x v="3"/>
    <s v="Standard"/>
    <d v="2023-08-04T00:00:00"/>
    <n v="1499.95"/>
  </r>
  <r>
    <s v="TRX0151"/>
    <d v="2025-02-22T00:00:00"/>
    <s v="CUST040"/>
    <s v="Sharon Butler"/>
    <s v="P002"/>
    <x v="5"/>
    <x v="0"/>
    <n v="1"/>
    <n v="699.99"/>
    <x v="2"/>
    <x v="3"/>
    <s v="Basic"/>
    <d v="2023-01-08T00:00:00"/>
    <n v="699.99"/>
  </r>
  <r>
    <s v="TRX0047"/>
    <d v="2025-02-23T00:00:00"/>
    <s v="CUST042"/>
    <s v="Ruth Brooks"/>
    <s v="P002"/>
    <x v="5"/>
    <x v="0"/>
    <n v="1"/>
    <n v="699.99"/>
    <x v="0"/>
    <x v="2"/>
    <s v="Premium"/>
    <d v="2022-01-22T00:00:00"/>
    <n v="699.99"/>
  </r>
  <r>
    <s v="TRX0200"/>
    <d v="2025-02-23T00:00:00"/>
    <s v="CUST037"/>
    <s v="Arthur Edwards"/>
    <s v="P008"/>
    <x v="2"/>
    <x v="2"/>
    <n v="4"/>
    <n v="149.99"/>
    <x v="2"/>
    <x v="2"/>
    <s v="Premium"/>
    <d v="2021-08-04T00:00:00"/>
    <n v="599.96"/>
  </r>
  <r>
    <s v="TRX0062"/>
    <d v="2025-02-23T00:00:00"/>
    <s v="CUST016"/>
    <s v="Elizabeth Hall"/>
    <s v="P010"/>
    <x v="8"/>
    <x v="0"/>
    <n v="5"/>
    <n v="89.99"/>
    <x v="2"/>
    <x v="3"/>
    <s v="Premium"/>
    <d v="2023-08-02T00:00:00"/>
    <n v="449.95"/>
  </r>
  <r>
    <s v="TRX0182"/>
    <d v="2025-02-24T00:00:00"/>
    <s v="CUST031"/>
    <s v="Steven Turner"/>
    <s v="P006"/>
    <x v="9"/>
    <x v="2"/>
    <n v="2"/>
    <n v="199.99"/>
    <x v="0"/>
    <x v="0"/>
    <s v="Premium"/>
    <d v="2022-01-12T00:00:00"/>
    <n v="399.98"/>
  </r>
  <r>
    <s v="TRX0229"/>
    <d v="2025-02-27T00:00:00"/>
    <s v="CUST015"/>
    <s v="Richard Lee"/>
    <s v="P005"/>
    <x v="1"/>
    <x v="1"/>
    <n v="4"/>
    <n v="59.99"/>
    <x v="0"/>
    <x v="3"/>
    <s v="Standard"/>
    <d v="2023-05-24T00:00:00"/>
    <n v="239.96"/>
  </r>
  <r>
    <s v="TRX0048"/>
    <d v="2025-02-27T00:00:00"/>
    <s v="CUST048"/>
    <s v="Virginia Sanders"/>
    <s v="P007"/>
    <x v="6"/>
    <x v="2"/>
    <n v="2"/>
    <n v="299.99"/>
    <x v="2"/>
    <x v="1"/>
    <s v="Basic"/>
    <d v="2022-01-15T00:00:00"/>
    <n v="599.98"/>
  </r>
  <r>
    <s v="TRX0227"/>
    <d v="2025-03-02T00:00:00"/>
    <s v="CUST017"/>
    <s v="Charles Allen"/>
    <s v="P008"/>
    <x v="2"/>
    <x v="2"/>
    <n v="2"/>
    <n v="149.99"/>
    <x v="0"/>
    <x v="0"/>
    <s v="Basic"/>
    <d v="2023-05-22T00:00:00"/>
    <n v="299.98"/>
  </r>
  <r>
    <s v="TRX0226"/>
    <d v="2025-03-04T00:00:00"/>
    <s v="CUST039"/>
    <s v="Lawrence Reed"/>
    <s v="P002"/>
    <x v="5"/>
    <x v="0"/>
    <n v="5"/>
    <n v="699.99"/>
    <x v="3"/>
    <x v="4"/>
    <s v="Premium"/>
    <d v="2023-08-23T00:00:00"/>
    <n v="3499.95"/>
  </r>
  <r>
    <s v="TRX0053"/>
    <d v="2025-03-05T00:00:00"/>
    <s v="CUST043"/>
    <s v="Dennis Gray"/>
    <s v="P005"/>
    <x v="1"/>
    <x v="1"/>
    <n v="5"/>
    <n v="59.99"/>
    <x v="0"/>
    <x v="3"/>
    <s v="Premium"/>
    <d v="2023-12-31T00:00:00"/>
    <n v="299.95"/>
  </r>
  <r>
    <s v="TRX0233"/>
    <d v="2025-03-07T00:00:00"/>
    <s v="CUST023"/>
    <s v="Paul Baker"/>
    <s v="P010"/>
    <x v="8"/>
    <x v="0"/>
    <n v="2"/>
    <n v="89.99"/>
    <x v="1"/>
    <x v="3"/>
    <s v="Premium"/>
    <d v="2024-01-04T00:00:00"/>
    <n v="179.98"/>
  </r>
  <r>
    <s v="TRX0175"/>
    <d v="2025-03-07T00:00:00"/>
    <s v="CUST030"/>
    <s v="Helen Roberts"/>
    <s v="P009"/>
    <x v="0"/>
    <x v="0"/>
    <n v="5"/>
    <n v="249.99"/>
    <x v="0"/>
    <x v="4"/>
    <s v="Standard"/>
    <d v="2021-12-10T00:00:00"/>
    <n v="1249.95"/>
  </r>
  <r>
    <s v="TRX0186"/>
    <d v="2025-03-08T00:00:00"/>
    <s v="CUST039"/>
    <s v="Lawrence Reed"/>
    <s v="P008"/>
    <x v="2"/>
    <x v="2"/>
    <n v="2"/>
    <n v="149.99"/>
    <x v="2"/>
    <x v="0"/>
    <s v="Premium"/>
    <d v="2022-03-12T00:00:00"/>
    <n v="299.98"/>
  </r>
  <r>
    <s v="TRX0016"/>
    <d v="2025-03-08T00:00:00"/>
    <s v="CUST035"/>
    <s v="Harry Morgan"/>
    <s v="P001"/>
    <x v="4"/>
    <x v="0"/>
    <n v="5"/>
    <n v="899.99"/>
    <x v="2"/>
    <x v="4"/>
    <s v="Premium"/>
    <d v="2024-04-07T00:00:00"/>
    <n v="4499.95"/>
  </r>
  <r>
    <s v="TRX0199"/>
    <d v="2025-03-08T00:00:00"/>
    <s v="CUST017"/>
    <s v="Charles Allen"/>
    <s v="P008"/>
    <x v="2"/>
    <x v="2"/>
    <n v="4"/>
    <n v="149.99"/>
    <x v="0"/>
    <x v="0"/>
    <s v="Standard"/>
    <d v="2023-12-03T00:00:00"/>
    <n v="599.96"/>
  </r>
  <r>
    <s v="TRX0038"/>
    <d v="2025-03-10T00:00:00"/>
    <s v="CUST035"/>
    <s v="Harry Morgan"/>
    <s v="P009"/>
    <x v="0"/>
    <x v="0"/>
    <n v="1"/>
    <n v="249.99"/>
    <x v="0"/>
    <x v="2"/>
    <s v="Standard"/>
    <d v="2023-07-10T00:00:00"/>
    <n v="249.99"/>
  </r>
  <r>
    <s v="TRX0014"/>
    <d v="2025-03-18T00:00:00"/>
    <s v="CUST033"/>
    <s v="Frank Torres"/>
    <s v="P005"/>
    <x v="1"/>
    <x v="1"/>
    <n v="2"/>
    <n v="59.99"/>
    <x v="1"/>
    <x v="3"/>
    <s v="Basic"/>
    <d v="2023-09-24T00:00:00"/>
    <n v="119.98"/>
  </r>
  <r>
    <s v="TRX0003"/>
    <d v="2025-03-21T00:00:00"/>
    <s v="CUST002"/>
    <s v="Emma Wilson"/>
    <s v="P008"/>
    <x v="2"/>
    <x v="2"/>
    <n v="2"/>
    <n v="149.99"/>
    <x v="0"/>
    <x v="3"/>
    <s v="Premium"/>
    <d v="2023-11-03T00:00:00"/>
    <n v="299.98"/>
  </r>
  <r>
    <s v="TRX0124"/>
    <d v="2025-03-21T00:00:00"/>
    <s v="CUST040"/>
    <s v="Sharon Butler"/>
    <s v="P001"/>
    <x v="4"/>
    <x v="0"/>
    <n v="3"/>
    <n v="899.99"/>
    <x v="3"/>
    <x v="2"/>
    <s v="Premium"/>
    <d v="2022-11-11T00:00:00"/>
    <n v="2699.97"/>
  </r>
  <r>
    <s v="TRX0013"/>
    <d v="2025-03-21T00:00:00"/>
    <s v="CUST024"/>
    <s v="Dorothy Nelson"/>
    <s v="P001"/>
    <x v="4"/>
    <x v="0"/>
    <n v="3"/>
    <n v="899.99"/>
    <x v="2"/>
    <x v="2"/>
    <s v="Basic"/>
    <d v="2023-02-18T00:00:00"/>
    <n v="2699.97"/>
  </r>
  <r>
    <s v="TRX0019"/>
    <d v="2025-03-23T00:00:00"/>
    <s v="CUST023"/>
    <s v="Paul Baker"/>
    <s v="P007"/>
    <x v="6"/>
    <x v="2"/>
    <n v="3"/>
    <n v="299.99"/>
    <x v="1"/>
    <x v="3"/>
    <s v="Premium"/>
    <d v="2023-11-04T00:00:00"/>
    <n v="899.97"/>
  </r>
  <r>
    <s v="TRX0050"/>
    <d v="2025-03-24T00:00:00"/>
    <s v="CUST001"/>
    <s v="John Smith"/>
    <s v="P008"/>
    <x v="2"/>
    <x v="2"/>
    <n v="4"/>
    <n v="149.99"/>
    <x v="2"/>
    <x v="3"/>
    <s v="Standard"/>
    <d v="2021-12-30T00:00:00"/>
    <n v="599.96"/>
  </r>
  <r>
    <s v="TRX0152"/>
    <d v="2025-03-27T00:00:00"/>
    <s v="CUST044"/>
    <s v="Cynthia Price"/>
    <s v="P004"/>
    <x v="7"/>
    <x v="1"/>
    <n v="4"/>
    <n v="79.989999999999995"/>
    <x v="1"/>
    <x v="0"/>
    <s v="Basic"/>
    <d v="2023-12-28T00:00:00"/>
    <n v="319.95999999999998"/>
  </r>
  <r>
    <s v="TRX0213"/>
    <d v="2025-03-29T00:00:00"/>
    <s v="CUST020"/>
    <s v="Margaret Wright"/>
    <s v="P010"/>
    <x v="8"/>
    <x v="0"/>
    <n v="5"/>
    <n v="89.99"/>
    <x v="2"/>
    <x v="1"/>
    <s v="Basic"/>
    <d v="2022-05-23T00:00:00"/>
    <n v="449.95"/>
  </r>
  <r>
    <s v="TRX0197"/>
    <d v="2025-03-30T00:00:00"/>
    <s v="CUST048"/>
    <s v="Virginia Sanders"/>
    <s v="P008"/>
    <x v="2"/>
    <x v="2"/>
    <n v="3"/>
    <n v="149.99"/>
    <x v="2"/>
    <x v="0"/>
    <s v="Standard"/>
    <d v="2023-09-02T00:00:00"/>
    <n v="449.97"/>
  </r>
  <r>
    <s v="TRX0250"/>
    <d v="2025-03-30T00:00:00"/>
    <s v="CUST026"/>
    <s v="Karen Hill"/>
    <s v="P010"/>
    <x v="8"/>
    <x v="0"/>
    <n v="2"/>
    <n v="89.99"/>
    <x v="3"/>
    <x v="3"/>
    <s v="Premium"/>
    <d v="2021-11-22T00:00:00"/>
    <n v="179.98"/>
  </r>
  <r>
    <s v="TRX0068"/>
    <d v="2025-04-01T00:00:00"/>
    <s v="CUST044"/>
    <s v="Cynthia Price"/>
    <s v="P002"/>
    <x v="5"/>
    <x v="0"/>
    <n v="2"/>
    <n v="699.99"/>
    <x v="2"/>
    <x v="2"/>
    <s v="Standard"/>
    <d v="2022-02-26T00:00:00"/>
    <n v="1399.98"/>
  </r>
  <r>
    <s v="TRX0144"/>
    <d v="2025-04-02T00:00:00"/>
    <s v="CUST029"/>
    <s v="Edward Mitchell"/>
    <s v="P001"/>
    <x v="4"/>
    <x v="0"/>
    <n v="3"/>
    <n v="899.99"/>
    <x v="0"/>
    <x v="0"/>
    <s v="Standard"/>
    <d v="2023-01-27T00:00:00"/>
    <n v="2699.97"/>
  </r>
  <r>
    <s v="TRX0039"/>
    <d v="2025-04-08T00:00:00"/>
    <s v="CUST048"/>
    <s v="Virginia Sanders"/>
    <s v="P004"/>
    <x v="7"/>
    <x v="1"/>
    <n v="3"/>
    <n v="79.989999999999995"/>
    <x v="1"/>
    <x v="2"/>
    <s v="Basic"/>
    <d v="2021-11-11T00:00:00"/>
    <n v="239.97"/>
  </r>
  <r>
    <s v="TRX0116"/>
    <d v="2025-04-09T00:00:00"/>
    <s v="CUST009"/>
    <s v="Robert Thomas"/>
    <s v="P010"/>
    <x v="8"/>
    <x v="0"/>
    <n v="1"/>
    <n v="89.99"/>
    <x v="3"/>
    <x v="4"/>
    <s v="Basic"/>
    <d v="2024-02-24T00:00:00"/>
    <n v="89.99"/>
  </r>
  <r>
    <s v="TRX0120"/>
    <d v="2025-04-11T00:00:00"/>
    <s v="CUST045"/>
    <s v="Douglas Watson"/>
    <s v="P002"/>
    <x v="5"/>
    <x v="0"/>
    <n v="3"/>
    <n v="699.99"/>
    <x v="2"/>
    <x v="2"/>
    <s v="Basic"/>
    <d v="2022-12-14T00:00:00"/>
    <n v="2099.9699999999998"/>
  </r>
  <r>
    <s v="TRX0103"/>
    <d v="2025-04-11T00:00:00"/>
    <s v="CUST039"/>
    <s v="Lawrence Reed"/>
    <s v="P010"/>
    <x v="8"/>
    <x v="0"/>
    <n v="2"/>
    <n v="89.99"/>
    <x v="3"/>
    <x v="4"/>
    <s v="Basic"/>
    <d v="2023-06-11T00:00:00"/>
    <n v="179.98"/>
  </r>
  <r>
    <s v="TRX0064"/>
    <d v="2025-04-11T00:00:00"/>
    <s v="CUST031"/>
    <s v="Steven Turner"/>
    <s v="P010"/>
    <x v="8"/>
    <x v="0"/>
    <n v="3"/>
    <n v="89.99"/>
    <x v="3"/>
    <x v="2"/>
    <s v="Premium"/>
    <d v="2022-11-13T00:00:00"/>
    <n v="269.97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B3D6B8-444D-44CD-8BD5-679FD0045CD7}" name="PivotTable9" cacheId="3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W3:Z114" firstHeaderRow="1" firstDataRow="1" firstDataCol="3"/>
  <pivotFields count="14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numFmtId="165" outline="0" showAll="0"/>
    <pivotField compact="0" outline="0" showAll="0">
      <items count="5">
        <item x="0"/>
        <item x="1"/>
        <item x="3"/>
        <item x="2"/>
        <item t="default"/>
      </items>
    </pivotField>
    <pivotField axis="axisRow"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numFmtId="14" outline="0" showAll="0"/>
    <pivotField dataField="1" compact="0" numFmtId="165" outline="0" showAll="0"/>
  </pivotFields>
  <rowFields count="3">
    <field x="5"/>
    <field x="10"/>
    <field x="6"/>
  </rowFields>
  <rowItems count="111">
    <i>
      <x/>
      <x/>
      <x/>
    </i>
    <i t="default" r="1">
      <x/>
    </i>
    <i r="1">
      <x v="1"/>
      <x/>
    </i>
    <i t="default" r="1">
      <x v="1"/>
    </i>
    <i r="1">
      <x v="2"/>
      <x/>
    </i>
    <i t="default" r="1">
      <x v="2"/>
    </i>
    <i r="1">
      <x v="3"/>
      <x/>
    </i>
    <i t="default" r="1">
      <x v="3"/>
    </i>
    <i r="1">
      <x v="4"/>
      <x/>
    </i>
    <i t="default" r="1">
      <x v="4"/>
    </i>
    <i t="default">
      <x/>
    </i>
    <i>
      <x v="1"/>
      <x/>
      <x v="2"/>
    </i>
    <i t="default" r="1">
      <x/>
    </i>
    <i r="1">
      <x v="1"/>
      <x v="2"/>
    </i>
    <i t="default" r="1">
      <x v="1"/>
    </i>
    <i r="1">
      <x v="2"/>
      <x v="2"/>
    </i>
    <i t="default" r="1">
      <x v="2"/>
    </i>
    <i r="1">
      <x v="3"/>
      <x v="2"/>
    </i>
    <i t="default" r="1">
      <x v="3"/>
    </i>
    <i r="1">
      <x v="4"/>
      <x v="2"/>
    </i>
    <i t="default" r="1">
      <x v="4"/>
    </i>
    <i t="default">
      <x v="1"/>
    </i>
    <i>
      <x v="2"/>
      <x/>
      <x/>
    </i>
    <i t="default" r="1">
      <x/>
    </i>
    <i r="1">
      <x v="1"/>
      <x/>
    </i>
    <i t="default" r="1">
      <x v="1"/>
    </i>
    <i r="1">
      <x v="2"/>
      <x/>
    </i>
    <i t="default" r="1">
      <x v="2"/>
    </i>
    <i r="1">
      <x v="3"/>
      <x/>
    </i>
    <i t="default" r="1">
      <x v="3"/>
    </i>
    <i r="1">
      <x v="4"/>
      <x/>
    </i>
    <i t="default" r="1">
      <x v="4"/>
    </i>
    <i t="default">
      <x v="2"/>
    </i>
    <i>
      <x v="3"/>
      <x/>
      <x v="2"/>
    </i>
    <i t="default" r="1">
      <x/>
    </i>
    <i r="1">
      <x v="1"/>
      <x v="2"/>
    </i>
    <i t="default" r="1">
      <x v="1"/>
    </i>
    <i r="1">
      <x v="2"/>
      <x v="2"/>
    </i>
    <i t="default" r="1">
      <x v="2"/>
    </i>
    <i r="1">
      <x v="3"/>
      <x v="2"/>
    </i>
    <i t="default" r="1">
      <x v="3"/>
    </i>
    <i r="1">
      <x v="4"/>
      <x v="2"/>
    </i>
    <i t="default" r="1">
      <x v="4"/>
    </i>
    <i t="default">
      <x v="3"/>
    </i>
    <i>
      <x v="4"/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 r="1">
      <x v="4"/>
      <x v="1"/>
    </i>
    <i t="default" r="1">
      <x v="4"/>
    </i>
    <i t="default">
      <x v="4"/>
    </i>
    <i>
      <x v="5"/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 r="1">
      <x v="4"/>
      <x v="1"/>
    </i>
    <i t="default" r="1">
      <x v="4"/>
    </i>
    <i t="default">
      <x v="5"/>
    </i>
    <i>
      <x v="6"/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 r="1">
      <x v="4"/>
      <x v="1"/>
    </i>
    <i t="default" r="1">
      <x v="4"/>
    </i>
    <i t="default">
      <x v="6"/>
    </i>
    <i>
      <x v="7"/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 r="1">
      <x v="4"/>
      <x v="1"/>
    </i>
    <i t="default" r="1">
      <x v="4"/>
    </i>
    <i t="default">
      <x v="7"/>
    </i>
    <i>
      <x v="8"/>
      <x/>
      <x v="2"/>
    </i>
    <i t="default" r="1">
      <x/>
    </i>
    <i r="1">
      <x v="1"/>
      <x v="2"/>
    </i>
    <i t="default" r="1">
      <x v="1"/>
    </i>
    <i r="1">
      <x v="2"/>
      <x v="2"/>
    </i>
    <i t="default" r="1">
      <x v="2"/>
    </i>
    <i r="1">
      <x v="3"/>
      <x v="2"/>
    </i>
    <i t="default" r="1">
      <x v="3"/>
    </i>
    <i r="1">
      <x v="4"/>
      <x v="2"/>
    </i>
    <i t="default" r="1">
      <x v="4"/>
    </i>
    <i t="default">
      <x v="8"/>
    </i>
    <i>
      <x v="9"/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 r="1">
      <x v="4"/>
      <x v="1"/>
    </i>
    <i t="default" r="1">
      <x v="4"/>
    </i>
    <i t="default">
      <x v="9"/>
    </i>
    <i t="grand">
      <x/>
    </i>
  </rowItems>
  <colItems count="1">
    <i/>
  </colItems>
  <dataFields count="1">
    <dataField name="Sum of Total_Amount" fld="13" baseField="0" baseItem="0" numFmtId="165"/>
  </dataFields>
  <formats count="79">
    <format dxfId="73">
      <pivotArea type="all" dataOnly="0" outline="0" fieldPosition="0"/>
    </format>
    <format dxfId="74">
      <pivotArea outline="0" collapsedLevelsAreSubtotals="1" fieldPosition="0"/>
    </format>
    <format dxfId="75">
      <pivotArea field="5" type="button" dataOnly="0" labelOnly="1" outline="0" axis="axisRow" fieldPosition="0"/>
    </format>
    <format dxfId="76">
      <pivotArea field="10" type="button" dataOnly="0" labelOnly="1" outline="0" axis="axisRow" fieldPosition="1"/>
    </format>
    <format dxfId="77">
      <pivotArea field="6" type="button" dataOnly="0" labelOnly="1" outline="0" axis="axisRow" fieldPosition="2"/>
    </format>
    <format dxfId="78">
      <pivotArea dataOnly="0" labelOnly="1" outline="0" fieldPosition="0">
        <references count="1">
          <reference field="5" count="0"/>
        </references>
      </pivotArea>
    </format>
    <format dxfId="79">
      <pivotArea dataOnly="0" labelOnly="1" outline="0" fieldPosition="0">
        <references count="1">
          <reference field="5" count="0" defaultSubtotal="1"/>
        </references>
      </pivotArea>
    </format>
    <format dxfId="80">
      <pivotArea dataOnly="0" labelOnly="1" grandRow="1" outline="0" fieldPosition="0"/>
    </format>
    <format dxfId="81">
      <pivotArea dataOnly="0" labelOnly="1" outline="0" fieldPosition="0">
        <references count="2">
          <reference field="5" count="1" selected="0">
            <x v="0"/>
          </reference>
          <reference field="10" count="0"/>
        </references>
      </pivotArea>
    </format>
    <format dxfId="82">
      <pivotArea dataOnly="0" labelOnly="1" outline="0" fieldPosition="0">
        <references count="2">
          <reference field="5" count="1" selected="0">
            <x v="0"/>
          </reference>
          <reference field="10" count="0" defaultSubtotal="1"/>
        </references>
      </pivotArea>
    </format>
    <format dxfId="83">
      <pivotArea dataOnly="0" labelOnly="1" outline="0" fieldPosition="0">
        <references count="2">
          <reference field="5" count="1" selected="0">
            <x v="1"/>
          </reference>
          <reference field="10" count="0"/>
        </references>
      </pivotArea>
    </format>
    <format dxfId="84">
      <pivotArea dataOnly="0" labelOnly="1" outline="0" fieldPosition="0">
        <references count="2">
          <reference field="5" count="1" selected="0">
            <x v="1"/>
          </reference>
          <reference field="10" count="0" defaultSubtotal="1"/>
        </references>
      </pivotArea>
    </format>
    <format dxfId="85">
      <pivotArea dataOnly="0" labelOnly="1" outline="0" fieldPosition="0">
        <references count="2">
          <reference field="5" count="1" selected="0">
            <x v="2"/>
          </reference>
          <reference field="10" count="0"/>
        </references>
      </pivotArea>
    </format>
    <format dxfId="86">
      <pivotArea dataOnly="0" labelOnly="1" outline="0" fieldPosition="0">
        <references count="2">
          <reference field="5" count="1" selected="0">
            <x v="2"/>
          </reference>
          <reference field="10" count="0" defaultSubtotal="1"/>
        </references>
      </pivotArea>
    </format>
    <format dxfId="87">
      <pivotArea dataOnly="0" labelOnly="1" outline="0" fieldPosition="0">
        <references count="2">
          <reference field="5" count="1" selected="0">
            <x v="3"/>
          </reference>
          <reference field="10" count="0"/>
        </references>
      </pivotArea>
    </format>
    <format dxfId="88">
      <pivotArea dataOnly="0" labelOnly="1" outline="0" fieldPosition="0">
        <references count="2">
          <reference field="5" count="1" selected="0">
            <x v="3"/>
          </reference>
          <reference field="10" count="0" defaultSubtotal="1"/>
        </references>
      </pivotArea>
    </format>
    <format dxfId="89">
      <pivotArea dataOnly="0" labelOnly="1" outline="0" fieldPosition="0">
        <references count="2">
          <reference field="5" count="1" selected="0">
            <x v="4"/>
          </reference>
          <reference field="10" count="0"/>
        </references>
      </pivotArea>
    </format>
    <format dxfId="90">
      <pivotArea dataOnly="0" labelOnly="1" outline="0" fieldPosition="0">
        <references count="2">
          <reference field="5" count="1" selected="0">
            <x v="4"/>
          </reference>
          <reference field="10" count="0" defaultSubtotal="1"/>
        </references>
      </pivotArea>
    </format>
    <format dxfId="91">
      <pivotArea dataOnly="0" labelOnly="1" outline="0" fieldPosition="0">
        <references count="2">
          <reference field="5" count="1" selected="0">
            <x v="5"/>
          </reference>
          <reference field="10" count="0"/>
        </references>
      </pivotArea>
    </format>
    <format dxfId="92">
      <pivotArea dataOnly="0" labelOnly="1" outline="0" fieldPosition="0">
        <references count="2">
          <reference field="5" count="1" selected="0">
            <x v="5"/>
          </reference>
          <reference field="10" count="0" defaultSubtotal="1"/>
        </references>
      </pivotArea>
    </format>
    <format dxfId="93">
      <pivotArea dataOnly="0" labelOnly="1" outline="0" fieldPosition="0">
        <references count="2">
          <reference field="5" count="1" selected="0">
            <x v="6"/>
          </reference>
          <reference field="10" count="0"/>
        </references>
      </pivotArea>
    </format>
    <format dxfId="94">
      <pivotArea dataOnly="0" labelOnly="1" outline="0" fieldPosition="0">
        <references count="2">
          <reference field="5" count="1" selected="0">
            <x v="6"/>
          </reference>
          <reference field="10" count="0" defaultSubtotal="1"/>
        </references>
      </pivotArea>
    </format>
    <format dxfId="95">
      <pivotArea dataOnly="0" labelOnly="1" outline="0" fieldPosition="0">
        <references count="2">
          <reference field="5" count="1" selected="0">
            <x v="7"/>
          </reference>
          <reference field="10" count="0"/>
        </references>
      </pivotArea>
    </format>
    <format dxfId="96">
      <pivotArea dataOnly="0" labelOnly="1" outline="0" fieldPosition="0">
        <references count="2">
          <reference field="5" count="1" selected="0">
            <x v="7"/>
          </reference>
          <reference field="10" count="0" defaultSubtotal="1"/>
        </references>
      </pivotArea>
    </format>
    <format dxfId="97">
      <pivotArea dataOnly="0" labelOnly="1" outline="0" fieldPosition="0">
        <references count="2">
          <reference field="5" count="1" selected="0">
            <x v="8"/>
          </reference>
          <reference field="10" count="0"/>
        </references>
      </pivotArea>
    </format>
    <format dxfId="98">
      <pivotArea dataOnly="0" labelOnly="1" outline="0" fieldPosition="0">
        <references count="2">
          <reference field="5" count="1" selected="0">
            <x v="8"/>
          </reference>
          <reference field="10" count="0" defaultSubtotal="1"/>
        </references>
      </pivotArea>
    </format>
    <format dxfId="99">
      <pivotArea dataOnly="0" labelOnly="1" outline="0" fieldPosition="0">
        <references count="2">
          <reference field="5" count="1" selected="0">
            <x v="9"/>
          </reference>
          <reference field="10" count="0"/>
        </references>
      </pivotArea>
    </format>
    <format dxfId="100">
      <pivotArea dataOnly="0" labelOnly="1" outline="0" fieldPosition="0">
        <references count="2">
          <reference field="5" count="1" selected="0">
            <x v="9"/>
          </reference>
          <reference field="10" count="0" defaultSubtotal="1"/>
        </references>
      </pivotArea>
    </format>
    <format dxfId="101">
      <pivotArea dataOnly="0" labelOnly="1" outline="0" fieldPosition="0">
        <references count="3">
          <reference field="5" count="1" selected="0">
            <x v="0"/>
          </reference>
          <reference field="6" count="1">
            <x v="0"/>
          </reference>
          <reference field="10" count="1" selected="0">
            <x v="0"/>
          </reference>
        </references>
      </pivotArea>
    </format>
    <format dxfId="102">
      <pivotArea dataOnly="0" labelOnly="1" outline="0" fieldPosition="0">
        <references count="3">
          <reference field="5" count="1" selected="0">
            <x v="0"/>
          </reference>
          <reference field="6" count="1">
            <x v="0"/>
          </reference>
          <reference field="10" count="1" selected="0">
            <x v="1"/>
          </reference>
        </references>
      </pivotArea>
    </format>
    <format dxfId="103">
      <pivotArea dataOnly="0" labelOnly="1" outline="0" fieldPosition="0">
        <references count="3">
          <reference field="5" count="1" selected="0">
            <x v="0"/>
          </reference>
          <reference field="6" count="1">
            <x v="0"/>
          </reference>
          <reference field="10" count="1" selected="0">
            <x v="2"/>
          </reference>
        </references>
      </pivotArea>
    </format>
    <format dxfId="104">
      <pivotArea dataOnly="0" labelOnly="1" outline="0" fieldPosition="0">
        <references count="3">
          <reference field="5" count="1" selected="0">
            <x v="0"/>
          </reference>
          <reference field="6" count="1">
            <x v="0"/>
          </reference>
          <reference field="10" count="1" selected="0">
            <x v="3"/>
          </reference>
        </references>
      </pivotArea>
    </format>
    <format dxfId="105">
      <pivotArea dataOnly="0" labelOnly="1" outline="0" fieldPosition="0">
        <references count="3">
          <reference field="5" count="1" selected="0">
            <x v="0"/>
          </reference>
          <reference field="6" count="1">
            <x v="0"/>
          </reference>
          <reference field="10" count="1" selected="0">
            <x v="4"/>
          </reference>
        </references>
      </pivotArea>
    </format>
    <format dxfId="106">
      <pivotArea dataOnly="0" labelOnly="1" outline="0" fieldPosition="0">
        <references count="3">
          <reference field="5" count="1" selected="0">
            <x v="1"/>
          </reference>
          <reference field="6" count="1">
            <x v="2"/>
          </reference>
          <reference field="10" count="1" selected="0">
            <x v="0"/>
          </reference>
        </references>
      </pivotArea>
    </format>
    <format dxfId="107">
      <pivotArea dataOnly="0" labelOnly="1" outline="0" fieldPosition="0">
        <references count="3">
          <reference field="5" count="1" selected="0">
            <x v="1"/>
          </reference>
          <reference field="6" count="1">
            <x v="2"/>
          </reference>
          <reference field="10" count="1" selected="0">
            <x v="1"/>
          </reference>
        </references>
      </pivotArea>
    </format>
    <format dxfId="108">
      <pivotArea dataOnly="0" labelOnly="1" outline="0" fieldPosition="0">
        <references count="3">
          <reference field="5" count="1" selected="0">
            <x v="1"/>
          </reference>
          <reference field="6" count="1">
            <x v="2"/>
          </reference>
          <reference field="10" count="1" selected="0">
            <x v="2"/>
          </reference>
        </references>
      </pivotArea>
    </format>
    <format dxfId="109">
      <pivotArea dataOnly="0" labelOnly="1" outline="0" fieldPosition="0">
        <references count="3">
          <reference field="5" count="1" selected="0">
            <x v="1"/>
          </reference>
          <reference field="6" count="1">
            <x v="2"/>
          </reference>
          <reference field="10" count="1" selected="0">
            <x v="3"/>
          </reference>
        </references>
      </pivotArea>
    </format>
    <format dxfId="110">
      <pivotArea dataOnly="0" labelOnly="1" outline="0" fieldPosition="0">
        <references count="3">
          <reference field="5" count="1" selected="0">
            <x v="1"/>
          </reference>
          <reference field="6" count="1">
            <x v="2"/>
          </reference>
          <reference field="10" count="1" selected="0">
            <x v="4"/>
          </reference>
        </references>
      </pivotArea>
    </format>
    <format dxfId="111">
      <pivotArea dataOnly="0" labelOnly="1" outline="0" fieldPosition="0">
        <references count="3">
          <reference field="5" count="1" selected="0">
            <x v="2"/>
          </reference>
          <reference field="6" count="1">
            <x v="0"/>
          </reference>
          <reference field="10" count="1" selected="0">
            <x v="0"/>
          </reference>
        </references>
      </pivotArea>
    </format>
    <format dxfId="112">
      <pivotArea dataOnly="0" labelOnly="1" outline="0" fieldPosition="0">
        <references count="3">
          <reference field="5" count="1" selected="0">
            <x v="2"/>
          </reference>
          <reference field="6" count="1">
            <x v="0"/>
          </reference>
          <reference field="10" count="1" selected="0">
            <x v="1"/>
          </reference>
        </references>
      </pivotArea>
    </format>
    <format dxfId="113">
      <pivotArea dataOnly="0" labelOnly="1" outline="0" fieldPosition="0">
        <references count="3">
          <reference field="5" count="1" selected="0">
            <x v="2"/>
          </reference>
          <reference field="6" count="1">
            <x v="0"/>
          </reference>
          <reference field="10" count="1" selected="0">
            <x v="2"/>
          </reference>
        </references>
      </pivotArea>
    </format>
    <format dxfId="114">
      <pivotArea dataOnly="0" labelOnly="1" outline="0" fieldPosition="0">
        <references count="3">
          <reference field="5" count="1" selected="0">
            <x v="2"/>
          </reference>
          <reference field="6" count="1">
            <x v="0"/>
          </reference>
          <reference field="10" count="1" selected="0">
            <x v="3"/>
          </reference>
        </references>
      </pivotArea>
    </format>
    <format dxfId="115">
      <pivotArea dataOnly="0" labelOnly="1" outline="0" fieldPosition="0">
        <references count="3">
          <reference field="5" count="1" selected="0">
            <x v="2"/>
          </reference>
          <reference field="6" count="1">
            <x v="0"/>
          </reference>
          <reference field="10" count="1" selected="0">
            <x v="4"/>
          </reference>
        </references>
      </pivotArea>
    </format>
    <format dxfId="116">
      <pivotArea dataOnly="0" labelOnly="1" outline="0" fieldPosition="0">
        <references count="3">
          <reference field="5" count="1" selected="0">
            <x v="3"/>
          </reference>
          <reference field="6" count="1">
            <x v="2"/>
          </reference>
          <reference field="10" count="1" selected="0">
            <x v="0"/>
          </reference>
        </references>
      </pivotArea>
    </format>
    <format dxfId="117">
      <pivotArea dataOnly="0" labelOnly="1" outline="0" fieldPosition="0">
        <references count="3">
          <reference field="5" count="1" selected="0">
            <x v="3"/>
          </reference>
          <reference field="6" count="1">
            <x v="2"/>
          </reference>
          <reference field="10" count="1" selected="0">
            <x v="1"/>
          </reference>
        </references>
      </pivotArea>
    </format>
    <format dxfId="118">
      <pivotArea dataOnly="0" labelOnly="1" outline="0" fieldPosition="0">
        <references count="3">
          <reference field="5" count="1" selected="0">
            <x v="3"/>
          </reference>
          <reference field="6" count="1">
            <x v="2"/>
          </reference>
          <reference field="10" count="1" selected="0">
            <x v="2"/>
          </reference>
        </references>
      </pivotArea>
    </format>
    <format dxfId="119">
      <pivotArea dataOnly="0" labelOnly="1" outline="0" fieldPosition="0">
        <references count="3">
          <reference field="5" count="1" selected="0">
            <x v="3"/>
          </reference>
          <reference field="6" count="1">
            <x v="2"/>
          </reference>
          <reference field="10" count="1" selected="0">
            <x v="3"/>
          </reference>
        </references>
      </pivotArea>
    </format>
    <format dxfId="120">
      <pivotArea dataOnly="0" labelOnly="1" outline="0" fieldPosition="0">
        <references count="3">
          <reference field="5" count="1" selected="0">
            <x v="3"/>
          </reference>
          <reference field="6" count="1">
            <x v="2"/>
          </reference>
          <reference field="10" count="1" selected="0">
            <x v="4"/>
          </reference>
        </references>
      </pivotArea>
    </format>
    <format dxfId="121">
      <pivotArea dataOnly="0" labelOnly="1" outline="0" fieldPosition="0">
        <references count="3">
          <reference field="5" count="1" selected="0">
            <x v="4"/>
          </reference>
          <reference field="6" count="1">
            <x v="1"/>
          </reference>
          <reference field="10" count="1" selected="0">
            <x v="0"/>
          </reference>
        </references>
      </pivotArea>
    </format>
    <format dxfId="122">
      <pivotArea dataOnly="0" labelOnly="1" outline="0" fieldPosition="0">
        <references count="3">
          <reference field="5" count="1" selected="0">
            <x v="4"/>
          </reference>
          <reference field="6" count="1">
            <x v="1"/>
          </reference>
          <reference field="10" count="1" selected="0">
            <x v="1"/>
          </reference>
        </references>
      </pivotArea>
    </format>
    <format dxfId="123">
      <pivotArea dataOnly="0" labelOnly="1" outline="0" fieldPosition="0">
        <references count="3">
          <reference field="5" count="1" selected="0">
            <x v="4"/>
          </reference>
          <reference field="6" count="1">
            <x v="1"/>
          </reference>
          <reference field="10" count="1" selected="0">
            <x v="2"/>
          </reference>
        </references>
      </pivotArea>
    </format>
    <format dxfId="124">
      <pivotArea dataOnly="0" labelOnly="1" outline="0" fieldPosition="0">
        <references count="3">
          <reference field="5" count="1" selected="0">
            <x v="4"/>
          </reference>
          <reference field="6" count="1">
            <x v="1"/>
          </reference>
          <reference field="10" count="1" selected="0">
            <x v="3"/>
          </reference>
        </references>
      </pivotArea>
    </format>
    <format dxfId="125">
      <pivotArea dataOnly="0" labelOnly="1" outline="0" fieldPosition="0">
        <references count="3">
          <reference field="5" count="1" selected="0">
            <x v="4"/>
          </reference>
          <reference field="6" count="1">
            <x v="1"/>
          </reference>
          <reference field="10" count="1" selected="0">
            <x v="4"/>
          </reference>
        </references>
      </pivotArea>
    </format>
    <format dxfId="126">
      <pivotArea dataOnly="0" labelOnly="1" outline="0" fieldPosition="0">
        <references count="3">
          <reference field="5" count="1" selected="0">
            <x v="5"/>
          </reference>
          <reference field="6" count="1">
            <x v="1"/>
          </reference>
          <reference field="10" count="1" selected="0">
            <x v="0"/>
          </reference>
        </references>
      </pivotArea>
    </format>
    <format dxfId="127">
      <pivotArea dataOnly="0" labelOnly="1" outline="0" fieldPosition="0">
        <references count="3">
          <reference field="5" count="1" selected="0">
            <x v="5"/>
          </reference>
          <reference field="6" count="1">
            <x v="1"/>
          </reference>
          <reference field="10" count="1" selected="0">
            <x v="1"/>
          </reference>
        </references>
      </pivotArea>
    </format>
    <format dxfId="128">
      <pivotArea dataOnly="0" labelOnly="1" outline="0" fieldPosition="0">
        <references count="3">
          <reference field="5" count="1" selected="0">
            <x v="5"/>
          </reference>
          <reference field="6" count="1">
            <x v="1"/>
          </reference>
          <reference field="10" count="1" selected="0">
            <x v="2"/>
          </reference>
        </references>
      </pivotArea>
    </format>
    <format dxfId="129">
      <pivotArea dataOnly="0" labelOnly="1" outline="0" fieldPosition="0">
        <references count="3">
          <reference field="5" count="1" selected="0">
            <x v="5"/>
          </reference>
          <reference field="6" count="1">
            <x v="1"/>
          </reference>
          <reference field="10" count="1" selected="0">
            <x v="3"/>
          </reference>
        </references>
      </pivotArea>
    </format>
    <format dxfId="130">
      <pivotArea dataOnly="0" labelOnly="1" outline="0" fieldPosition="0">
        <references count="3">
          <reference field="5" count="1" selected="0">
            <x v="5"/>
          </reference>
          <reference field="6" count="1">
            <x v="1"/>
          </reference>
          <reference field="10" count="1" selected="0">
            <x v="4"/>
          </reference>
        </references>
      </pivotArea>
    </format>
    <format dxfId="131">
      <pivotArea dataOnly="0" labelOnly="1" outline="0" fieldPosition="0">
        <references count="3">
          <reference field="5" count="1" selected="0">
            <x v="6"/>
          </reference>
          <reference field="6" count="1">
            <x v="1"/>
          </reference>
          <reference field="10" count="1" selected="0">
            <x v="0"/>
          </reference>
        </references>
      </pivotArea>
    </format>
    <format dxfId="132">
      <pivotArea dataOnly="0" labelOnly="1" outline="0" fieldPosition="0">
        <references count="3">
          <reference field="5" count="1" selected="0">
            <x v="6"/>
          </reference>
          <reference field="6" count="1">
            <x v="1"/>
          </reference>
          <reference field="10" count="1" selected="0">
            <x v="1"/>
          </reference>
        </references>
      </pivotArea>
    </format>
    <format dxfId="133">
      <pivotArea dataOnly="0" labelOnly="1" outline="0" fieldPosition="0">
        <references count="3">
          <reference field="5" count="1" selected="0">
            <x v="6"/>
          </reference>
          <reference field="6" count="1">
            <x v="1"/>
          </reference>
          <reference field="10" count="1" selected="0">
            <x v="2"/>
          </reference>
        </references>
      </pivotArea>
    </format>
    <format dxfId="134">
      <pivotArea dataOnly="0" labelOnly="1" outline="0" fieldPosition="0">
        <references count="3">
          <reference field="5" count="1" selected="0">
            <x v="6"/>
          </reference>
          <reference field="6" count="1">
            <x v="1"/>
          </reference>
          <reference field="10" count="1" selected="0">
            <x v="3"/>
          </reference>
        </references>
      </pivotArea>
    </format>
    <format dxfId="135">
      <pivotArea dataOnly="0" labelOnly="1" outline="0" fieldPosition="0">
        <references count="3">
          <reference field="5" count="1" selected="0">
            <x v="6"/>
          </reference>
          <reference field="6" count="1">
            <x v="1"/>
          </reference>
          <reference field="10" count="1" selected="0">
            <x v="4"/>
          </reference>
        </references>
      </pivotArea>
    </format>
    <format dxfId="136">
      <pivotArea dataOnly="0" labelOnly="1" outline="0" fieldPosition="0">
        <references count="3">
          <reference field="5" count="1" selected="0">
            <x v="7"/>
          </reference>
          <reference field="6" count="1">
            <x v="1"/>
          </reference>
          <reference field="10" count="1" selected="0">
            <x v="0"/>
          </reference>
        </references>
      </pivotArea>
    </format>
    <format dxfId="137">
      <pivotArea dataOnly="0" labelOnly="1" outline="0" fieldPosition="0">
        <references count="3">
          <reference field="5" count="1" selected="0">
            <x v="7"/>
          </reference>
          <reference field="6" count="1">
            <x v="1"/>
          </reference>
          <reference field="10" count="1" selected="0">
            <x v="1"/>
          </reference>
        </references>
      </pivotArea>
    </format>
    <format dxfId="138">
      <pivotArea dataOnly="0" labelOnly="1" outline="0" fieldPosition="0">
        <references count="3">
          <reference field="5" count="1" selected="0">
            <x v="7"/>
          </reference>
          <reference field="6" count="1">
            <x v="1"/>
          </reference>
          <reference field="10" count="1" selected="0">
            <x v="2"/>
          </reference>
        </references>
      </pivotArea>
    </format>
    <format dxfId="139">
      <pivotArea dataOnly="0" labelOnly="1" outline="0" fieldPosition="0">
        <references count="3">
          <reference field="5" count="1" selected="0">
            <x v="7"/>
          </reference>
          <reference field="6" count="1">
            <x v="1"/>
          </reference>
          <reference field="10" count="1" selected="0">
            <x v="3"/>
          </reference>
        </references>
      </pivotArea>
    </format>
    <format dxfId="140">
      <pivotArea dataOnly="0" labelOnly="1" outline="0" fieldPosition="0">
        <references count="3">
          <reference field="5" count="1" selected="0">
            <x v="7"/>
          </reference>
          <reference field="6" count="1">
            <x v="1"/>
          </reference>
          <reference field="10" count="1" selected="0">
            <x v="4"/>
          </reference>
        </references>
      </pivotArea>
    </format>
    <format dxfId="141">
      <pivotArea dataOnly="0" labelOnly="1" outline="0" fieldPosition="0">
        <references count="3">
          <reference field="5" count="1" selected="0">
            <x v="8"/>
          </reference>
          <reference field="6" count="1">
            <x v="2"/>
          </reference>
          <reference field="10" count="1" selected="0">
            <x v="0"/>
          </reference>
        </references>
      </pivotArea>
    </format>
    <format dxfId="142">
      <pivotArea dataOnly="0" labelOnly="1" outline="0" fieldPosition="0">
        <references count="3">
          <reference field="5" count="1" selected="0">
            <x v="8"/>
          </reference>
          <reference field="6" count="1">
            <x v="2"/>
          </reference>
          <reference field="10" count="1" selected="0">
            <x v="1"/>
          </reference>
        </references>
      </pivotArea>
    </format>
    <format dxfId="143">
      <pivotArea dataOnly="0" labelOnly="1" outline="0" fieldPosition="0">
        <references count="3">
          <reference field="5" count="1" selected="0">
            <x v="8"/>
          </reference>
          <reference field="6" count="1">
            <x v="2"/>
          </reference>
          <reference field="10" count="1" selected="0">
            <x v="2"/>
          </reference>
        </references>
      </pivotArea>
    </format>
    <format dxfId="144">
      <pivotArea dataOnly="0" labelOnly="1" outline="0" fieldPosition="0">
        <references count="3">
          <reference field="5" count="1" selected="0">
            <x v="8"/>
          </reference>
          <reference field="6" count="1">
            <x v="2"/>
          </reference>
          <reference field="10" count="1" selected="0">
            <x v="3"/>
          </reference>
        </references>
      </pivotArea>
    </format>
    <format dxfId="145">
      <pivotArea dataOnly="0" labelOnly="1" outline="0" fieldPosition="0">
        <references count="3">
          <reference field="5" count="1" selected="0">
            <x v="8"/>
          </reference>
          <reference field="6" count="1">
            <x v="2"/>
          </reference>
          <reference field="10" count="1" selected="0">
            <x v="4"/>
          </reference>
        </references>
      </pivotArea>
    </format>
    <format dxfId="146">
      <pivotArea dataOnly="0" labelOnly="1" outline="0" fieldPosition="0">
        <references count="3">
          <reference field="5" count="1" selected="0">
            <x v="9"/>
          </reference>
          <reference field="6" count="1">
            <x v="1"/>
          </reference>
          <reference field="10" count="1" selected="0">
            <x v="0"/>
          </reference>
        </references>
      </pivotArea>
    </format>
    <format dxfId="147">
      <pivotArea dataOnly="0" labelOnly="1" outline="0" fieldPosition="0">
        <references count="3">
          <reference field="5" count="1" selected="0">
            <x v="9"/>
          </reference>
          <reference field="6" count="1">
            <x v="1"/>
          </reference>
          <reference field="10" count="1" selected="0">
            <x v="1"/>
          </reference>
        </references>
      </pivotArea>
    </format>
    <format dxfId="148">
      <pivotArea dataOnly="0" labelOnly="1" outline="0" fieldPosition="0">
        <references count="3">
          <reference field="5" count="1" selected="0">
            <x v="9"/>
          </reference>
          <reference field="6" count="1">
            <x v="1"/>
          </reference>
          <reference field="10" count="1" selected="0">
            <x v="2"/>
          </reference>
        </references>
      </pivotArea>
    </format>
    <format dxfId="149">
      <pivotArea dataOnly="0" labelOnly="1" outline="0" fieldPosition="0">
        <references count="3">
          <reference field="5" count="1" selected="0">
            <x v="9"/>
          </reference>
          <reference field="6" count="1">
            <x v="1"/>
          </reference>
          <reference field="10" count="1" selected="0">
            <x v="3"/>
          </reference>
        </references>
      </pivotArea>
    </format>
    <format dxfId="150">
      <pivotArea dataOnly="0" labelOnly="1" outline="0" fieldPosition="0">
        <references count="3">
          <reference field="5" count="1" selected="0">
            <x v="9"/>
          </reference>
          <reference field="6" count="1">
            <x v="1"/>
          </reference>
          <reference field="10" count="1" selected="0">
            <x v="4"/>
          </reference>
        </references>
      </pivotArea>
    </format>
    <format dxfId="15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3A3FB-C696-4DE8-961C-58B7034798EC}" name="PivotTable8" cacheId="3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P3:S86" firstHeaderRow="1" firstDataRow="1" firstDataCol="3"/>
  <pivotFields count="14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numFmtId="165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axis="axisRow"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numFmtId="14" outline="0" showAll="0"/>
    <pivotField dataField="1" compact="0" numFmtId="165" outline="0" showAll="0"/>
  </pivotFields>
  <rowFields count="3">
    <field x="10"/>
    <field x="9"/>
    <field x="6"/>
  </rowFields>
  <rowItems count="83">
    <i>
      <x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r="1">
      <x v="3"/>
      <x/>
    </i>
    <i r="2">
      <x v="1"/>
    </i>
    <i r="2">
      <x v="2"/>
    </i>
    <i t="default" r="1">
      <x v="3"/>
    </i>
    <i t="default">
      <x/>
    </i>
    <i>
      <x v="1"/>
      <x/>
      <x/>
    </i>
    <i r="2">
      <x v="1"/>
    </i>
    <i r="2">
      <x v="2"/>
    </i>
    <i t="default" r="1">
      <x/>
    </i>
    <i r="1">
      <x v="1"/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r="1">
      <x v="3"/>
      <x/>
    </i>
    <i r="2">
      <x v="1"/>
    </i>
    <i r="2">
      <x v="2"/>
    </i>
    <i t="default" r="1">
      <x v="3"/>
    </i>
    <i t="default">
      <x v="1"/>
    </i>
    <i>
      <x v="2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 v="1"/>
    </i>
    <i r="2">
      <x v="2"/>
    </i>
    <i t="default" r="1">
      <x v="2"/>
    </i>
    <i r="1">
      <x v="3"/>
      <x v="1"/>
    </i>
    <i r="2">
      <x v="2"/>
    </i>
    <i t="default" r="1">
      <x v="3"/>
    </i>
    <i t="default">
      <x v="2"/>
    </i>
    <i>
      <x v="3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r="1">
      <x v="3"/>
      <x/>
    </i>
    <i r="2">
      <x v="1"/>
    </i>
    <i r="2">
      <x v="2"/>
    </i>
    <i t="default" r="1">
      <x v="3"/>
    </i>
    <i t="default">
      <x v="3"/>
    </i>
    <i>
      <x v="4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r="1">
      <x v="3"/>
      <x/>
    </i>
    <i r="2">
      <x v="1"/>
    </i>
    <i r="2">
      <x v="2"/>
    </i>
    <i t="default" r="1">
      <x v="3"/>
    </i>
    <i t="default">
      <x v="4"/>
    </i>
    <i t="grand">
      <x/>
    </i>
  </rowItems>
  <colItems count="1">
    <i/>
  </colItems>
  <dataFields count="1">
    <dataField name="Sum of Total_Amount" fld="13" baseField="0" baseItem="0" numFmtId="165"/>
  </dataFields>
  <formats count="39">
    <format dxfId="34">
      <pivotArea type="all" dataOnly="0" outline="0" fieldPosition="0"/>
    </format>
    <format dxfId="35">
      <pivotArea outline="0" collapsedLevelsAreSubtotals="1" fieldPosition="0"/>
    </format>
    <format dxfId="36">
      <pivotArea field="10" type="button" dataOnly="0" labelOnly="1" outline="0" axis="axisRow" fieldPosition="0"/>
    </format>
    <format dxfId="37">
      <pivotArea field="9" type="button" dataOnly="0" labelOnly="1" outline="0" axis="axisRow" fieldPosition="1"/>
    </format>
    <format dxfId="38">
      <pivotArea field="6" type="button" dataOnly="0" labelOnly="1" outline="0" axis="axisRow" fieldPosition="2"/>
    </format>
    <format dxfId="39">
      <pivotArea dataOnly="0" labelOnly="1" outline="0" fieldPosition="0">
        <references count="1">
          <reference field="10" count="0"/>
        </references>
      </pivotArea>
    </format>
    <format dxfId="40">
      <pivotArea dataOnly="0" labelOnly="1" outline="0" fieldPosition="0">
        <references count="1">
          <reference field="10" count="0" defaultSubtotal="1"/>
        </references>
      </pivotArea>
    </format>
    <format dxfId="41">
      <pivotArea dataOnly="0" labelOnly="1" grandRow="1" outline="0" fieldPosition="0"/>
    </format>
    <format dxfId="42">
      <pivotArea dataOnly="0" labelOnly="1" outline="0" fieldPosition="0">
        <references count="2">
          <reference field="9" count="0"/>
          <reference field="10" count="1" selected="0">
            <x v="0"/>
          </reference>
        </references>
      </pivotArea>
    </format>
    <format dxfId="43">
      <pivotArea dataOnly="0" labelOnly="1" outline="0" fieldPosition="0">
        <references count="2">
          <reference field="9" count="0" defaultSubtotal="1"/>
          <reference field="10" count="1" selected="0">
            <x v="0"/>
          </reference>
        </references>
      </pivotArea>
    </format>
    <format dxfId="44">
      <pivotArea dataOnly="0" labelOnly="1" outline="0" fieldPosition="0">
        <references count="2">
          <reference field="9" count="0"/>
          <reference field="10" count="1" selected="0">
            <x v="1"/>
          </reference>
        </references>
      </pivotArea>
    </format>
    <format dxfId="45">
      <pivotArea dataOnly="0" labelOnly="1" outline="0" fieldPosition="0">
        <references count="2">
          <reference field="9" count="0" defaultSubtotal="1"/>
          <reference field="10" count="1" selected="0">
            <x v="1"/>
          </reference>
        </references>
      </pivotArea>
    </format>
    <format dxfId="46">
      <pivotArea dataOnly="0" labelOnly="1" outline="0" fieldPosition="0">
        <references count="2">
          <reference field="9" count="0"/>
          <reference field="10" count="1" selected="0">
            <x v="2"/>
          </reference>
        </references>
      </pivotArea>
    </format>
    <format dxfId="47">
      <pivotArea dataOnly="0" labelOnly="1" outline="0" fieldPosition="0">
        <references count="2">
          <reference field="9" count="0" defaultSubtotal="1"/>
          <reference field="10" count="1" selected="0">
            <x v="2"/>
          </reference>
        </references>
      </pivotArea>
    </format>
    <format dxfId="48">
      <pivotArea dataOnly="0" labelOnly="1" outline="0" fieldPosition="0">
        <references count="2">
          <reference field="9" count="0"/>
          <reference field="10" count="1" selected="0">
            <x v="3"/>
          </reference>
        </references>
      </pivotArea>
    </format>
    <format dxfId="49">
      <pivotArea dataOnly="0" labelOnly="1" outline="0" fieldPosition="0">
        <references count="2">
          <reference field="9" count="0" defaultSubtotal="1"/>
          <reference field="10" count="1" selected="0">
            <x v="3"/>
          </reference>
        </references>
      </pivotArea>
    </format>
    <format dxfId="50">
      <pivotArea dataOnly="0" labelOnly="1" outline="0" fieldPosition="0">
        <references count="2">
          <reference field="9" count="0"/>
          <reference field="10" count="1" selected="0">
            <x v="4"/>
          </reference>
        </references>
      </pivotArea>
    </format>
    <format dxfId="51">
      <pivotArea dataOnly="0" labelOnly="1" outline="0" fieldPosition="0">
        <references count="2">
          <reference field="9" count="0" defaultSubtotal="1"/>
          <reference field="10" count="1" selected="0">
            <x v="4"/>
          </reference>
        </references>
      </pivotArea>
    </format>
    <format dxfId="52">
      <pivotArea dataOnly="0" labelOnly="1" outline="0" fieldPosition="0">
        <references count="3">
          <reference field="6" count="0"/>
          <reference field="9" count="1" selected="0">
            <x v="0"/>
          </reference>
          <reference field="10" count="1" selected="0">
            <x v="0"/>
          </reference>
        </references>
      </pivotArea>
    </format>
    <format dxfId="53">
      <pivotArea dataOnly="0" labelOnly="1" outline="0" fieldPosition="0">
        <references count="3">
          <reference field="6" count="0"/>
          <reference field="9" count="1" selected="0">
            <x v="1"/>
          </reference>
          <reference field="10" count="1" selected="0">
            <x v="0"/>
          </reference>
        </references>
      </pivotArea>
    </format>
    <format dxfId="54">
      <pivotArea dataOnly="0" labelOnly="1" outline="0" fieldPosition="0">
        <references count="3">
          <reference field="6" count="0"/>
          <reference field="9" count="1" selected="0">
            <x v="2"/>
          </reference>
          <reference field="10" count="1" selected="0">
            <x v="0"/>
          </reference>
        </references>
      </pivotArea>
    </format>
    <format dxfId="55">
      <pivotArea dataOnly="0" labelOnly="1" outline="0" fieldPosition="0">
        <references count="3">
          <reference field="6" count="0"/>
          <reference field="9" count="1" selected="0">
            <x v="3"/>
          </reference>
          <reference field="10" count="1" selected="0">
            <x v="0"/>
          </reference>
        </references>
      </pivotArea>
    </format>
    <format dxfId="56">
      <pivotArea dataOnly="0" labelOnly="1" outline="0" fieldPosition="0">
        <references count="3">
          <reference field="6" count="0"/>
          <reference field="9" count="1" selected="0">
            <x v="0"/>
          </reference>
          <reference field="10" count="1" selected="0">
            <x v="1"/>
          </reference>
        </references>
      </pivotArea>
    </format>
    <format dxfId="57">
      <pivotArea dataOnly="0" labelOnly="1" outline="0" fieldPosition="0">
        <references count="3">
          <reference field="6" count="2">
            <x v="1"/>
            <x v="2"/>
          </reference>
          <reference field="9" count="1" selected="0">
            <x v="1"/>
          </reference>
          <reference field="10" count="1" selected="0">
            <x v="1"/>
          </reference>
        </references>
      </pivotArea>
    </format>
    <format dxfId="58">
      <pivotArea dataOnly="0" labelOnly="1" outline="0" fieldPosition="0">
        <references count="3">
          <reference field="6" count="0"/>
          <reference field="9" count="1" selected="0">
            <x v="2"/>
          </reference>
          <reference field="10" count="1" selected="0">
            <x v="1"/>
          </reference>
        </references>
      </pivotArea>
    </format>
    <format dxfId="59">
      <pivotArea dataOnly="0" labelOnly="1" outline="0" fieldPosition="0">
        <references count="3">
          <reference field="6" count="0"/>
          <reference field="9" count="1" selected="0">
            <x v="3"/>
          </reference>
          <reference field="10" count="1" selected="0">
            <x v="1"/>
          </reference>
        </references>
      </pivotArea>
    </format>
    <format dxfId="60">
      <pivotArea dataOnly="0" labelOnly="1" outline="0" fieldPosition="0">
        <references count="3">
          <reference field="6" count="0"/>
          <reference field="9" count="1" selected="0">
            <x v="0"/>
          </reference>
          <reference field="10" count="1" selected="0">
            <x v="2"/>
          </reference>
        </references>
      </pivotArea>
    </format>
    <format dxfId="61">
      <pivotArea dataOnly="0" labelOnly="1" outline="0" fieldPosition="0">
        <references count="3">
          <reference field="6" count="0"/>
          <reference field="9" count="1" selected="0">
            <x v="1"/>
          </reference>
          <reference field="10" count="1" selected="0">
            <x v="2"/>
          </reference>
        </references>
      </pivotArea>
    </format>
    <format dxfId="62">
      <pivotArea dataOnly="0" labelOnly="1" outline="0" fieldPosition="0">
        <references count="3">
          <reference field="6" count="2">
            <x v="1"/>
            <x v="2"/>
          </reference>
          <reference field="9" count="1" selected="0">
            <x v="2"/>
          </reference>
          <reference field="10" count="1" selected="0">
            <x v="2"/>
          </reference>
        </references>
      </pivotArea>
    </format>
    <format dxfId="63">
      <pivotArea dataOnly="0" labelOnly="1" outline="0" fieldPosition="0">
        <references count="3">
          <reference field="6" count="2">
            <x v="1"/>
            <x v="2"/>
          </reference>
          <reference field="9" count="1" selected="0">
            <x v="3"/>
          </reference>
          <reference field="10" count="1" selected="0">
            <x v="2"/>
          </reference>
        </references>
      </pivotArea>
    </format>
    <format dxfId="64">
      <pivotArea dataOnly="0" labelOnly="1" outline="0" fieldPosition="0">
        <references count="3">
          <reference field="6" count="0"/>
          <reference field="9" count="1" selected="0">
            <x v="0"/>
          </reference>
          <reference field="10" count="1" selected="0">
            <x v="3"/>
          </reference>
        </references>
      </pivotArea>
    </format>
    <format dxfId="65">
      <pivotArea dataOnly="0" labelOnly="1" outline="0" fieldPosition="0">
        <references count="3">
          <reference field="6" count="0"/>
          <reference field="9" count="1" selected="0">
            <x v="1"/>
          </reference>
          <reference field="10" count="1" selected="0">
            <x v="3"/>
          </reference>
        </references>
      </pivotArea>
    </format>
    <format dxfId="66">
      <pivotArea dataOnly="0" labelOnly="1" outline="0" fieldPosition="0">
        <references count="3">
          <reference field="6" count="0"/>
          <reference field="9" count="1" selected="0">
            <x v="2"/>
          </reference>
          <reference field="10" count="1" selected="0">
            <x v="3"/>
          </reference>
        </references>
      </pivotArea>
    </format>
    <format dxfId="67">
      <pivotArea dataOnly="0" labelOnly="1" outline="0" fieldPosition="0">
        <references count="3">
          <reference field="6" count="0"/>
          <reference field="9" count="1" selected="0">
            <x v="3"/>
          </reference>
          <reference field="10" count="1" selected="0">
            <x v="3"/>
          </reference>
        </references>
      </pivotArea>
    </format>
    <format dxfId="68">
      <pivotArea dataOnly="0" labelOnly="1" outline="0" fieldPosition="0">
        <references count="3">
          <reference field="6" count="0"/>
          <reference field="9" count="1" selected="0">
            <x v="0"/>
          </reference>
          <reference field="10" count="1" selected="0">
            <x v="4"/>
          </reference>
        </references>
      </pivotArea>
    </format>
    <format dxfId="69">
      <pivotArea dataOnly="0" labelOnly="1" outline="0" fieldPosition="0">
        <references count="3">
          <reference field="6" count="0"/>
          <reference field="9" count="1" selected="0">
            <x v="1"/>
          </reference>
          <reference field="10" count="1" selected="0">
            <x v="4"/>
          </reference>
        </references>
      </pivotArea>
    </format>
    <format dxfId="70">
      <pivotArea dataOnly="0" labelOnly="1" outline="0" fieldPosition="0">
        <references count="3">
          <reference field="6" count="0"/>
          <reference field="9" count="1" selected="0">
            <x v="2"/>
          </reference>
          <reference field="10" count="1" selected="0">
            <x v="4"/>
          </reference>
        </references>
      </pivotArea>
    </format>
    <format dxfId="71">
      <pivotArea dataOnly="0" labelOnly="1" outline="0" fieldPosition="0">
        <references count="3">
          <reference field="6" count="0"/>
          <reference field="9" count="1" selected="0">
            <x v="3"/>
          </reference>
          <reference field="10" count="1" selected="0">
            <x v="4"/>
          </reference>
        </references>
      </pivotArea>
    </format>
    <format dxfId="72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AAF87-DEC3-47BA-A6C4-1AE2E909C100}" name="PivotTable4" cacheId="3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K3:M20" firstHeaderRow="1" firstDataRow="1" firstDataCol="2"/>
  <pivotFields count="14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numFmtId="165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outline="0" showAll="0"/>
    <pivotField compact="0" numFmtId="14" outline="0" showAll="0"/>
    <pivotField dataField="1" compact="0" numFmtId="165" outline="0" showAll="0"/>
  </pivotFields>
  <rowFields count="2">
    <field x="9"/>
    <field x="6"/>
  </rowFields>
  <row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Items count="1">
    <i/>
  </colItems>
  <dataFields count="1">
    <dataField name="Sum of Total_Amount" fld="13" baseField="0" baseItem="0" numFmtId="165"/>
  </dataFields>
  <formats count="12">
    <format dxfId="22">
      <pivotArea type="all" dataOnly="0" outline="0" fieldPosition="0"/>
    </format>
    <format dxfId="23">
      <pivotArea outline="0" collapsedLevelsAreSubtotals="1" fieldPosition="0"/>
    </format>
    <format dxfId="24">
      <pivotArea field="9" type="button" dataOnly="0" labelOnly="1" outline="0" axis="axisRow" fieldPosition="0"/>
    </format>
    <format dxfId="25">
      <pivotArea field="6" type="button" dataOnly="0" labelOnly="1" outline="0" axis="axisRow" fieldPosition="1"/>
    </format>
    <format dxfId="26">
      <pivotArea dataOnly="0" labelOnly="1" outline="0" fieldPosition="0">
        <references count="1">
          <reference field="9" count="0"/>
        </references>
      </pivotArea>
    </format>
    <format dxfId="27">
      <pivotArea dataOnly="0" labelOnly="1" outline="0" fieldPosition="0">
        <references count="1">
          <reference field="9" count="0" defaultSubtotal="1"/>
        </references>
      </pivotArea>
    </format>
    <format dxfId="28">
      <pivotArea dataOnly="0" labelOnly="1" grandRow="1" outline="0" fieldPosition="0"/>
    </format>
    <format dxfId="29">
      <pivotArea dataOnly="0" labelOnly="1" outline="0" fieldPosition="0">
        <references count="2">
          <reference field="6" count="0"/>
          <reference field="9" count="1" selected="0">
            <x v="0"/>
          </reference>
        </references>
      </pivotArea>
    </format>
    <format dxfId="30">
      <pivotArea dataOnly="0" labelOnly="1" outline="0" fieldPosition="0">
        <references count="2">
          <reference field="6" count="0"/>
          <reference field="9" count="1" selected="0">
            <x v="1"/>
          </reference>
        </references>
      </pivotArea>
    </format>
    <format dxfId="31">
      <pivotArea dataOnly="0" labelOnly="1" outline="0" fieldPosition="0">
        <references count="2">
          <reference field="6" count="0"/>
          <reference field="9" count="1" selected="0">
            <x v="2"/>
          </reference>
        </references>
      </pivotArea>
    </format>
    <format dxfId="32">
      <pivotArea dataOnly="0" labelOnly="1" outline="0" fieldPosition="0">
        <references count="2">
          <reference field="6" count="0"/>
          <reference field="9" count="1" selected="0">
            <x v="3"/>
          </reference>
        </references>
      </pivotArea>
    </format>
    <format dxfId="3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54781-8F03-4A67-925B-69BA2C825299}" name="PivotTable2" cacheId="3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F3:G7" firstHeaderRow="1" firstDataRow="1" firstDataCol="1"/>
  <pivotFields count="14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65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7" baseField="0" baseItem="0"/>
  </dataFields>
  <formats count="6">
    <format dxfId="16">
      <pivotArea type="all" dataOnly="0" outline="0" fieldPosition="0"/>
    </format>
    <format dxfId="17">
      <pivotArea outline="0" collapsedLevelsAreSubtotals="1" fieldPosition="0"/>
    </format>
    <format dxfId="18">
      <pivotArea field="6" type="button" dataOnly="0" labelOnly="1" outline="0" axis="axisRow" fieldPosition="0"/>
    </format>
    <format dxfId="19">
      <pivotArea dataOnly="0" labelOnly="1" outline="0" fieldPosition="0">
        <references count="1">
          <reference field="6" count="0"/>
        </references>
      </pivotArea>
    </format>
    <format dxfId="20">
      <pivotArea dataOnly="0" labelOnly="1" grandRow="1" outline="0" fieldPosition="0"/>
    </format>
    <format dxfId="21">
      <pivotArea dataOnly="0" labelOnly="1" outline="0" axis="axisValues" fieldPosition="0"/>
    </format>
  </format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D48D3-EB85-4D27-AA2B-140D0D00A81F}" name="PivotTable1" cacheId="3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14"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65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_ID" fld="2" subtotal="count" baseField="0" baseItem="0"/>
  </dataFields>
  <formats count="6">
    <format dxfId="10">
      <pivotArea type="all" dataOnly="0" outline="0" fieldPosition="0"/>
    </format>
    <format dxfId="11">
      <pivotArea outline="0" collapsedLevelsAreSubtotals="1" fieldPosition="0"/>
    </format>
    <format dxfId="12">
      <pivotArea field="6" type="button" dataOnly="0" labelOnly="1" outline="0" axis="axisRow" fieldPosition="0"/>
    </format>
    <format dxfId="13">
      <pivotArea dataOnly="0" labelOnly="1" outline="0" fieldPosition="0">
        <references count="1">
          <reference field="6" count="0"/>
        </references>
      </pivotArea>
    </format>
    <format dxfId="14">
      <pivotArea dataOnly="0" labelOnly="1" grandRow="1" outline="0" fieldPosition="0"/>
    </format>
    <format dxfId="1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879410-5555-4C22-829B-339E8CFA1F5B}">
  <we:reference id="wa104379190" version="2.0.0.0" store="en-US" storeType="omex"/>
  <we:alternateReferences>
    <we:reference id="wa104379190" version="2.0.0.0" store="en-US" storeType="omex"/>
  </we:alternateReferences>
  <we:properties/>
  <we:bindings>
    <we:binding id="RangeSelect" type="matrix" appref="{B8879B96-AA35-4C0C-8684-8C0D0A7050E3}"/>
    <we:binding id="InputY" type="matrix" appref="{EB977BFC-D19C-47BD-BC89-4320643D9251}"/>
    <we:binding id="InputX" type="matrix" appref="{E7196C7C-734A-4FFC-ABBA-4A4433E5EC04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1"/>
  <sheetViews>
    <sheetView workbookViewId="0">
      <selection activeCell="E4" sqref="E4"/>
    </sheetView>
  </sheetViews>
  <sheetFormatPr defaultRowHeight="15"/>
  <cols>
    <col min="1" max="1" width="14.7109375" style="7" bestFit="1" customWidth="1"/>
    <col min="2" max="2" width="11.42578125" style="15" bestFit="1" customWidth="1"/>
    <col min="3" max="3" width="12.7109375" style="7" bestFit="1" customWidth="1"/>
    <col min="4" max="4" width="16.42578125" style="7" bestFit="1" customWidth="1"/>
    <col min="5" max="5" width="11.140625" style="7" bestFit="1" customWidth="1"/>
    <col min="6" max="6" width="14.5703125" style="7" bestFit="1" customWidth="1"/>
    <col min="7" max="7" width="10.5703125" style="7" bestFit="1" customWidth="1"/>
    <col min="8" max="8" width="9" style="7" bestFit="1" customWidth="1"/>
    <col min="9" max="9" width="10.42578125" style="18" bestFit="1" customWidth="1"/>
    <col min="10" max="10" width="17.5703125" style="7" bestFit="1" customWidth="1"/>
    <col min="11" max="11" width="7.42578125" style="7" bestFit="1" customWidth="1"/>
    <col min="12" max="12" width="19" style="7" bestFit="1" customWidth="1"/>
    <col min="13" max="13" width="15.5703125" style="15" bestFit="1" customWidth="1"/>
    <col min="14" max="14" width="14.140625" style="18" bestFit="1" customWidth="1"/>
    <col min="15" max="15" width="12.28515625" style="7" bestFit="1" customWidth="1"/>
    <col min="16" max="16" width="18" style="7" bestFit="1" customWidth="1"/>
    <col min="17" max="17" width="23.5703125" style="7" bestFit="1" customWidth="1"/>
    <col min="18" max="18" width="25.140625" style="7" bestFit="1" customWidth="1"/>
    <col min="19" max="19" width="23.85546875" style="7" bestFit="1" customWidth="1"/>
    <col min="20" max="20" width="19.5703125" style="7" bestFit="1" customWidth="1"/>
    <col min="21" max="16384" width="9.140625" style="7"/>
  </cols>
  <sheetData>
    <row r="1" spans="1:20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10" t="s">
        <v>14</v>
      </c>
      <c r="P1" s="11" t="s">
        <v>15</v>
      </c>
      <c r="Q1" s="10" t="s">
        <v>16</v>
      </c>
      <c r="R1" s="10" t="s">
        <v>17</v>
      </c>
      <c r="S1" s="10" t="s">
        <v>18</v>
      </c>
      <c r="T1" s="10" t="s">
        <v>19</v>
      </c>
    </row>
    <row r="2" spans="1:20">
      <c r="A2" s="12" t="s">
        <v>20</v>
      </c>
      <c r="B2" s="13">
        <v>45393</v>
      </c>
      <c r="C2" s="12" t="s">
        <v>21</v>
      </c>
      <c r="D2" s="12" t="s">
        <v>22</v>
      </c>
      <c r="E2" s="12" t="s">
        <v>23</v>
      </c>
      <c r="F2" s="12" t="s">
        <v>24</v>
      </c>
      <c r="G2" s="12" t="s">
        <v>25</v>
      </c>
      <c r="H2" s="12">
        <v>3</v>
      </c>
      <c r="I2" s="14">
        <v>249.99</v>
      </c>
      <c r="J2" s="12" t="s">
        <v>26</v>
      </c>
      <c r="K2" s="12" t="s">
        <v>27</v>
      </c>
      <c r="L2" s="12" t="s">
        <v>28</v>
      </c>
      <c r="M2" s="13">
        <v>44425</v>
      </c>
      <c r="N2" s="14">
        <v>749.97</v>
      </c>
      <c r="O2" s="15">
        <f ca="1">TODAY()</f>
        <v>46312</v>
      </c>
      <c r="P2" s="16">
        <f ca="1">NOW()</f>
        <v>46312.46113171296</v>
      </c>
      <c r="Q2" s="17">
        <f ca="1">DATEDIF(M2,TODAY(),"Y")</f>
        <v>5</v>
      </c>
      <c r="R2" s="7">
        <f ca="1">DATEDIF(M2,TODAY(),"M")</f>
        <v>62</v>
      </c>
      <c r="S2" s="15">
        <f>EOMONTH(B2,0)</f>
        <v>45412</v>
      </c>
      <c r="T2" s="7" t="str">
        <f>CONCATENATE(LEFT(G2,5),"-",LEFT(F2,4),"-",E2)</f>
        <v>Elect-Moni-P009</v>
      </c>
    </row>
    <row r="3" spans="1:20">
      <c r="A3" s="12" t="s">
        <v>29</v>
      </c>
      <c r="B3" s="13">
        <v>45396</v>
      </c>
      <c r="C3" s="12" t="s">
        <v>30</v>
      </c>
      <c r="D3" s="12" t="s">
        <v>31</v>
      </c>
      <c r="E3" s="12" t="s">
        <v>23</v>
      </c>
      <c r="F3" s="12" t="s">
        <v>24</v>
      </c>
      <c r="G3" s="12" t="s">
        <v>25</v>
      </c>
      <c r="H3" s="12">
        <v>3</v>
      </c>
      <c r="I3" s="14">
        <v>249.99</v>
      </c>
      <c r="J3" s="12" t="s">
        <v>32</v>
      </c>
      <c r="K3" s="12" t="s">
        <v>27</v>
      </c>
      <c r="L3" s="12" t="s">
        <v>33</v>
      </c>
      <c r="M3" s="13">
        <v>44575</v>
      </c>
      <c r="N3" s="14">
        <v>749.97</v>
      </c>
      <c r="O3" s="15">
        <f t="shared" ref="O3:O66" ca="1" si="0">TODAY()</f>
        <v>46312</v>
      </c>
      <c r="P3" s="16">
        <f t="shared" ref="P3:P66" ca="1" si="1">NOW()</f>
        <v>46312.46113171296</v>
      </c>
      <c r="Q3" s="17">
        <f t="shared" ref="Q3:Q66" ca="1" si="2">DATEDIF(M3,TODAY(),"Y")</f>
        <v>4</v>
      </c>
      <c r="R3" s="7">
        <f t="shared" ref="R3:R66" ca="1" si="3">DATEDIF(M3,TODAY(),"M")</f>
        <v>57</v>
      </c>
      <c r="S3" s="15">
        <f t="shared" ref="S3:S66" si="4">EOMONTH(B3,0)</f>
        <v>45412</v>
      </c>
      <c r="T3" s="7" t="str">
        <f t="shared" ref="T3:T66" si="5">CONCATENATE(LEFT(G3,5),"-",LEFT(F3,4),"-",E3)</f>
        <v>Elect-Moni-P009</v>
      </c>
    </row>
    <row r="4" spans="1:20">
      <c r="A4" s="12" t="s">
        <v>34</v>
      </c>
      <c r="B4" s="13">
        <v>45399</v>
      </c>
      <c r="C4" s="12" t="s">
        <v>35</v>
      </c>
      <c r="D4" s="12" t="s">
        <v>36</v>
      </c>
      <c r="E4" s="12" t="s">
        <v>37</v>
      </c>
      <c r="F4" s="12" t="s">
        <v>38</v>
      </c>
      <c r="G4" s="12" t="s">
        <v>39</v>
      </c>
      <c r="H4" s="12">
        <v>3</v>
      </c>
      <c r="I4" s="14">
        <v>59.99</v>
      </c>
      <c r="J4" s="12" t="s">
        <v>40</v>
      </c>
      <c r="K4" s="12" t="s">
        <v>41</v>
      </c>
      <c r="L4" s="12" t="s">
        <v>42</v>
      </c>
      <c r="M4" s="13">
        <v>45262</v>
      </c>
      <c r="N4" s="14">
        <v>179.97</v>
      </c>
      <c r="O4" s="15">
        <f t="shared" ca="1" si="0"/>
        <v>46312</v>
      </c>
      <c r="P4" s="16">
        <f t="shared" ca="1" si="1"/>
        <v>46312.46113171296</v>
      </c>
      <c r="Q4" s="17">
        <f t="shared" ca="1" si="2"/>
        <v>2</v>
      </c>
      <c r="R4" s="7">
        <f t="shared" ca="1" si="3"/>
        <v>34</v>
      </c>
      <c r="S4" s="15">
        <f t="shared" si="4"/>
        <v>45412</v>
      </c>
      <c r="T4" s="7" t="str">
        <f t="shared" si="5"/>
        <v>Appli-Blen-P005</v>
      </c>
    </row>
    <row r="5" spans="1:20">
      <c r="A5" s="12" t="s">
        <v>43</v>
      </c>
      <c r="B5" s="13">
        <v>45400</v>
      </c>
      <c r="C5" s="12" t="s">
        <v>44</v>
      </c>
      <c r="D5" s="12" t="s">
        <v>45</v>
      </c>
      <c r="E5" s="12" t="s">
        <v>37</v>
      </c>
      <c r="F5" s="12" t="s">
        <v>38</v>
      </c>
      <c r="G5" s="12" t="s">
        <v>39</v>
      </c>
      <c r="H5" s="12">
        <v>3</v>
      </c>
      <c r="I5" s="14">
        <v>59.99</v>
      </c>
      <c r="J5" s="12" t="s">
        <v>26</v>
      </c>
      <c r="K5" s="12" t="s">
        <v>46</v>
      </c>
      <c r="L5" s="12" t="s">
        <v>33</v>
      </c>
      <c r="M5" s="13">
        <v>45114</v>
      </c>
      <c r="N5" s="14">
        <v>179.97</v>
      </c>
      <c r="O5" s="15">
        <f t="shared" ca="1" si="0"/>
        <v>46312</v>
      </c>
      <c r="P5" s="16">
        <f t="shared" ca="1" si="1"/>
        <v>46312.46113171296</v>
      </c>
      <c r="Q5" s="17">
        <f t="shared" ca="1" si="2"/>
        <v>3</v>
      </c>
      <c r="R5" s="7">
        <f t="shared" ca="1" si="3"/>
        <v>39</v>
      </c>
      <c r="S5" s="15">
        <f t="shared" si="4"/>
        <v>45412</v>
      </c>
      <c r="T5" s="7" t="str">
        <f t="shared" si="5"/>
        <v>Appli-Blen-P005</v>
      </c>
    </row>
    <row r="6" spans="1:20">
      <c r="A6" s="12" t="s">
        <v>47</v>
      </c>
      <c r="B6" s="13">
        <v>45400</v>
      </c>
      <c r="C6" s="12" t="s">
        <v>48</v>
      </c>
      <c r="D6" s="12" t="s">
        <v>49</v>
      </c>
      <c r="E6" s="12" t="s">
        <v>50</v>
      </c>
      <c r="F6" s="12" t="s">
        <v>51</v>
      </c>
      <c r="G6" s="12" t="s">
        <v>52</v>
      </c>
      <c r="H6" s="12">
        <v>5</v>
      </c>
      <c r="I6" s="14">
        <v>149.99</v>
      </c>
      <c r="J6" s="12" t="s">
        <v>32</v>
      </c>
      <c r="K6" s="12" t="s">
        <v>46</v>
      </c>
      <c r="L6" s="12" t="s">
        <v>33</v>
      </c>
      <c r="M6" s="13">
        <v>45295</v>
      </c>
      <c r="N6" s="14">
        <v>749.95</v>
      </c>
      <c r="O6" s="15">
        <f t="shared" ca="1" si="0"/>
        <v>46312</v>
      </c>
      <c r="P6" s="16">
        <f t="shared" ca="1" si="1"/>
        <v>46312.46113171296</v>
      </c>
      <c r="Q6" s="17">
        <f t="shared" ca="1" si="2"/>
        <v>2</v>
      </c>
      <c r="R6" s="7">
        <f t="shared" ca="1" si="3"/>
        <v>33</v>
      </c>
      <c r="S6" s="15">
        <f t="shared" si="4"/>
        <v>45412</v>
      </c>
      <c r="T6" s="7" t="str">
        <f t="shared" si="5"/>
        <v>Furni-Book-P008</v>
      </c>
    </row>
    <row r="7" spans="1:20">
      <c r="A7" s="12" t="s">
        <v>53</v>
      </c>
      <c r="B7" s="13">
        <v>45403</v>
      </c>
      <c r="C7" s="12" t="s">
        <v>54</v>
      </c>
      <c r="D7" s="12" t="s">
        <v>55</v>
      </c>
      <c r="E7" s="12" t="s">
        <v>37</v>
      </c>
      <c r="F7" s="12" t="s">
        <v>38</v>
      </c>
      <c r="G7" s="12" t="s">
        <v>39</v>
      </c>
      <c r="H7" s="12">
        <v>2</v>
      </c>
      <c r="I7" s="14">
        <v>59.99</v>
      </c>
      <c r="J7" s="12" t="s">
        <v>26</v>
      </c>
      <c r="K7" s="12" t="s">
        <v>56</v>
      </c>
      <c r="L7" s="12" t="s">
        <v>42</v>
      </c>
      <c r="M7" s="13">
        <v>44746</v>
      </c>
      <c r="N7" s="14">
        <v>119.98</v>
      </c>
      <c r="O7" s="15">
        <f t="shared" ca="1" si="0"/>
        <v>46312</v>
      </c>
      <c r="P7" s="16">
        <f t="shared" ca="1" si="1"/>
        <v>46312.46113171296</v>
      </c>
      <c r="Q7" s="17">
        <f t="shared" ca="1" si="2"/>
        <v>4</v>
      </c>
      <c r="R7" s="7">
        <f t="shared" ca="1" si="3"/>
        <v>51</v>
      </c>
      <c r="S7" s="15">
        <f t="shared" si="4"/>
        <v>45412</v>
      </c>
      <c r="T7" s="7" t="str">
        <f t="shared" si="5"/>
        <v>Appli-Blen-P005</v>
      </c>
    </row>
    <row r="8" spans="1:20">
      <c r="A8" s="12" t="s">
        <v>57</v>
      </c>
      <c r="B8" s="13">
        <v>45403</v>
      </c>
      <c r="C8" s="12" t="s">
        <v>54</v>
      </c>
      <c r="D8" s="12" t="s">
        <v>55</v>
      </c>
      <c r="E8" s="12" t="s">
        <v>58</v>
      </c>
      <c r="F8" s="12" t="s">
        <v>59</v>
      </c>
      <c r="G8" s="12" t="s">
        <v>25</v>
      </c>
      <c r="H8" s="12">
        <v>5</v>
      </c>
      <c r="I8" s="14">
        <v>149.99</v>
      </c>
      <c r="J8" s="12" t="s">
        <v>32</v>
      </c>
      <c r="K8" s="12" t="s">
        <v>27</v>
      </c>
      <c r="L8" s="12" t="s">
        <v>42</v>
      </c>
      <c r="M8" s="13">
        <v>44418</v>
      </c>
      <c r="N8" s="14">
        <v>749.95</v>
      </c>
      <c r="O8" s="15">
        <f t="shared" ca="1" si="0"/>
        <v>46312</v>
      </c>
      <c r="P8" s="16">
        <f t="shared" ca="1" si="1"/>
        <v>46312.46113171296</v>
      </c>
      <c r="Q8" s="17">
        <f t="shared" ca="1" si="2"/>
        <v>5</v>
      </c>
      <c r="R8" s="7">
        <f t="shared" ca="1" si="3"/>
        <v>62</v>
      </c>
      <c r="S8" s="15">
        <f t="shared" si="4"/>
        <v>45412</v>
      </c>
      <c r="T8" s="7" t="str">
        <f t="shared" si="5"/>
        <v>Elect-Head-P003</v>
      </c>
    </row>
    <row r="9" spans="1:20">
      <c r="A9" s="12" t="s">
        <v>60</v>
      </c>
      <c r="B9" s="13">
        <v>45403</v>
      </c>
      <c r="C9" s="12" t="s">
        <v>61</v>
      </c>
      <c r="D9" s="12" t="s">
        <v>62</v>
      </c>
      <c r="E9" s="12" t="s">
        <v>37</v>
      </c>
      <c r="F9" s="12" t="s">
        <v>38</v>
      </c>
      <c r="G9" s="12" t="s">
        <v>39</v>
      </c>
      <c r="H9" s="12">
        <v>3</v>
      </c>
      <c r="I9" s="14">
        <v>59.99</v>
      </c>
      <c r="J9" s="12" t="s">
        <v>63</v>
      </c>
      <c r="K9" s="12" t="s">
        <v>41</v>
      </c>
      <c r="L9" s="12" t="s">
        <v>28</v>
      </c>
      <c r="M9" s="13">
        <v>45007</v>
      </c>
      <c r="N9" s="14">
        <v>179.97</v>
      </c>
      <c r="O9" s="15">
        <f t="shared" ca="1" si="0"/>
        <v>46312</v>
      </c>
      <c r="P9" s="16">
        <f t="shared" ca="1" si="1"/>
        <v>46312.46113171296</v>
      </c>
      <c r="Q9" s="17">
        <f t="shared" ca="1" si="2"/>
        <v>3</v>
      </c>
      <c r="R9" s="7">
        <f t="shared" ca="1" si="3"/>
        <v>42</v>
      </c>
      <c r="S9" s="15">
        <f t="shared" si="4"/>
        <v>45412</v>
      </c>
      <c r="T9" s="7" t="str">
        <f t="shared" si="5"/>
        <v>Appli-Blen-P005</v>
      </c>
    </row>
    <row r="10" spans="1:20">
      <c r="A10" s="12" t="s">
        <v>64</v>
      </c>
      <c r="B10" s="13">
        <v>45405</v>
      </c>
      <c r="C10" s="12" t="s">
        <v>65</v>
      </c>
      <c r="D10" s="12" t="s">
        <v>66</v>
      </c>
      <c r="E10" s="12" t="s">
        <v>67</v>
      </c>
      <c r="F10" s="12" t="s">
        <v>68</v>
      </c>
      <c r="G10" s="12" t="s">
        <v>25</v>
      </c>
      <c r="H10" s="12">
        <v>3</v>
      </c>
      <c r="I10" s="14">
        <v>899.99</v>
      </c>
      <c r="J10" s="12" t="s">
        <v>40</v>
      </c>
      <c r="K10" s="12" t="s">
        <v>69</v>
      </c>
      <c r="L10" s="12" t="s">
        <v>42</v>
      </c>
      <c r="M10" s="13">
        <v>45299</v>
      </c>
      <c r="N10" s="14">
        <v>2699.97</v>
      </c>
      <c r="O10" s="15">
        <f t="shared" ca="1" si="0"/>
        <v>46312</v>
      </c>
      <c r="P10" s="16">
        <f t="shared" ca="1" si="1"/>
        <v>46312.46113171296</v>
      </c>
      <c r="Q10" s="17">
        <f t="shared" ca="1" si="2"/>
        <v>2</v>
      </c>
      <c r="R10" s="7">
        <f t="shared" ca="1" si="3"/>
        <v>33</v>
      </c>
      <c r="S10" s="15">
        <f t="shared" si="4"/>
        <v>45412</v>
      </c>
      <c r="T10" s="7" t="str">
        <f t="shared" si="5"/>
        <v>Elect-Lapt-P001</v>
      </c>
    </row>
    <row r="11" spans="1:20">
      <c r="A11" s="12" t="s">
        <v>70</v>
      </c>
      <c r="B11" s="13">
        <v>45408</v>
      </c>
      <c r="C11" s="12" t="s">
        <v>71</v>
      </c>
      <c r="D11" s="12" t="s">
        <v>72</v>
      </c>
      <c r="E11" s="12" t="s">
        <v>37</v>
      </c>
      <c r="F11" s="12" t="s">
        <v>38</v>
      </c>
      <c r="G11" s="12" t="s">
        <v>39</v>
      </c>
      <c r="H11" s="12">
        <v>3</v>
      </c>
      <c r="I11" s="14">
        <v>59.99</v>
      </c>
      <c r="J11" s="12" t="s">
        <v>26</v>
      </c>
      <c r="K11" s="12" t="s">
        <v>56</v>
      </c>
      <c r="L11" s="12" t="s">
        <v>33</v>
      </c>
      <c r="M11" s="13">
        <v>45207</v>
      </c>
      <c r="N11" s="14">
        <v>179.97</v>
      </c>
      <c r="O11" s="15">
        <f t="shared" ca="1" si="0"/>
        <v>46312</v>
      </c>
      <c r="P11" s="16">
        <f t="shared" ca="1" si="1"/>
        <v>46312.46113171296</v>
      </c>
      <c r="Q11" s="17">
        <f t="shared" ca="1" si="2"/>
        <v>3</v>
      </c>
      <c r="R11" s="7">
        <f t="shared" ca="1" si="3"/>
        <v>36</v>
      </c>
      <c r="S11" s="15">
        <f t="shared" si="4"/>
        <v>45412</v>
      </c>
      <c r="T11" s="7" t="str">
        <f t="shared" si="5"/>
        <v>Appli-Blen-P005</v>
      </c>
    </row>
    <row r="12" spans="1:20">
      <c r="A12" s="12" t="s">
        <v>73</v>
      </c>
      <c r="B12" s="13">
        <v>45408</v>
      </c>
      <c r="C12" s="12" t="s">
        <v>74</v>
      </c>
      <c r="D12" s="12" t="s">
        <v>75</v>
      </c>
      <c r="E12" s="12" t="s">
        <v>50</v>
      </c>
      <c r="F12" s="12" t="s">
        <v>51</v>
      </c>
      <c r="G12" s="12" t="s">
        <v>52</v>
      </c>
      <c r="H12" s="12">
        <v>1</v>
      </c>
      <c r="I12" s="14">
        <v>149.99</v>
      </c>
      <c r="J12" s="12" t="s">
        <v>32</v>
      </c>
      <c r="K12" s="12" t="s">
        <v>56</v>
      </c>
      <c r="L12" s="12" t="s">
        <v>42</v>
      </c>
      <c r="M12" s="13">
        <v>45103</v>
      </c>
      <c r="N12" s="14">
        <v>149.99</v>
      </c>
      <c r="O12" s="15">
        <f t="shared" ca="1" si="0"/>
        <v>46312</v>
      </c>
      <c r="P12" s="16">
        <f t="shared" ca="1" si="1"/>
        <v>46312.46113171296</v>
      </c>
      <c r="Q12" s="17">
        <f t="shared" ca="1" si="2"/>
        <v>3</v>
      </c>
      <c r="R12" s="7">
        <f t="shared" ca="1" si="3"/>
        <v>39</v>
      </c>
      <c r="S12" s="15">
        <f t="shared" si="4"/>
        <v>45412</v>
      </c>
      <c r="T12" s="7" t="str">
        <f t="shared" si="5"/>
        <v>Furni-Book-P008</v>
      </c>
    </row>
    <row r="13" spans="1:20">
      <c r="A13" s="12" t="s">
        <v>76</v>
      </c>
      <c r="B13" s="13">
        <v>45408</v>
      </c>
      <c r="C13" s="12" t="s">
        <v>44</v>
      </c>
      <c r="D13" s="12" t="s">
        <v>45</v>
      </c>
      <c r="E13" s="12" t="s">
        <v>50</v>
      </c>
      <c r="F13" s="12" t="s">
        <v>51</v>
      </c>
      <c r="G13" s="12" t="s">
        <v>52</v>
      </c>
      <c r="H13" s="12">
        <v>5</v>
      </c>
      <c r="I13" s="14">
        <v>149.99</v>
      </c>
      <c r="J13" s="12" t="s">
        <v>63</v>
      </c>
      <c r="K13" s="12" t="s">
        <v>46</v>
      </c>
      <c r="L13" s="12" t="s">
        <v>28</v>
      </c>
      <c r="M13" s="13">
        <v>44830</v>
      </c>
      <c r="N13" s="14">
        <v>749.95</v>
      </c>
      <c r="O13" s="15">
        <f t="shared" ca="1" si="0"/>
        <v>46312</v>
      </c>
      <c r="P13" s="16">
        <f t="shared" ca="1" si="1"/>
        <v>46312.46113171296</v>
      </c>
      <c r="Q13" s="17">
        <f t="shared" ca="1" si="2"/>
        <v>4</v>
      </c>
      <c r="R13" s="7">
        <f t="shared" ca="1" si="3"/>
        <v>48</v>
      </c>
      <c r="S13" s="15">
        <f t="shared" si="4"/>
        <v>45412</v>
      </c>
      <c r="T13" s="7" t="str">
        <f t="shared" si="5"/>
        <v>Furni-Book-P008</v>
      </c>
    </row>
    <row r="14" spans="1:20">
      <c r="A14" s="12" t="s">
        <v>77</v>
      </c>
      <c r="B14" s="13">
        <v>45408</v>
      </c>
      <c r="C14" s="12" t="s">
        <v>78</v>
      </c>
      <c r="D14" s="12" t="s">
        <v>79</v>
      </c>
      <c r="E14" s="12" t="s">
        <v>50</v>
      </c>
      <c r="F14" s="12" t="s">
        <v>51</v>
      </c>
      <c r="G14" s="12" t="s">
        <v>52</v>
      </c>
      <c r="H14" s="12">
        <v>3</v>
      </c>
      <c r="I14" s="14">
        <v>149.99</v>
      </c>
      <c r="J14" s="12" t="s">
        <v>26</v>
      </c>
      <c r="K14" s="12" t="s">
        <v>46</v>
      </c>
      <c r="L14" s="12" t="s">
        <v>33</v>
      </c>
      <c r="M14" s="13">
        <v>44806</v>
      </c>
      <c r="N14" s="14">
        <v>449.97</v>
      </c>
      <c r="O14" s="15">
        <f t="shared" ca="1" si="0"/>
        <v>46312</v>
      </c>
      <c r="P14" s="16">
        <f t="shared" ca="1" si="1"/>
        <v>46312.46113171296</v>
      </c>
      <c r="Q14" s="17">
        <f t="shared" ca="1" si="2"/>
        <v>4</v>
      </c>
      <c r="R14" s="7">
        <f t="shared" ca="1" si="3"/>
        <v>49</v>
      </c>
      <c r="S14" s="15">
        <f t="shared" si="4"/>
        <v>45412</v>
      </c>
      <c r="T14" s="7" t="str">
        <f t="shared" si="5"/>
        <v>Furni-Book-P008</v>
      </c>
    </row>
    <row r="15" spans="1:20">
      <c r="A15" s="12" t="s">
        <v>80</v>
      </c>
      <c r="B15" s="13">
        <v>45409</v>
      </c>
      <c r="C15" s="12" t="s">
        <v>81</v>
      </c>
      <c r="D15" s="12" t="s">
        <v>82</v>
      </c>
      <c r="E15" s="12" t="s">
        <v>37</v>
      </c>
      <c r="F15" s="12" t="s">
        <v>38</v>
      </c>
      <c r="G15" s="12" t="s">
        <v>39</v>
      </c>
      <c r="H15" s="12">
        <v>3</v>
      </c>
      <c r="I15" s="14">
        <v>59.99</v>
      </c>
      <c r="J15" s="12" t="s">
        <v>32</v>
      </c>
      <c r="K15" s="12" t="s">
        <v>46</v>
      </c>
      <c r="L15" s="12" t="s">
        <v>42</v>
      </c>
      <c r="M15" s="13">
        <v>45351</v>
      </c>
      <c r="N15" s="14">
        <v>179.97</v>
      </c>
      <c r="O15" s="15">
        <f t="shared" ca="1" si="0"/>
        <v>46312</v>
      </c>
      <c r="P15" s="16">
        <f t="shared" ca="1" si="1"/>
        <v>46312.46113171296</v>
      </c>
      <c r="Q15" s="17">
        <f t="shared" ca="1" si="2"/>
        <v>2</v>
      </c>
      <c r="R15" s="7">
        <f t="shared" ca="1" si="3"/>
        <v>31</v>
      </c>
      <c r="S15" s="15">
        <f t="shared" si="4"/>
        <v>45412</v>
      </c>
      <c r="T15" s="7" t="str">
        <f t="shared" si="5"/>
        <v>Appli-Blen-P005</v>
      </c>
    </row>
    <row r="16" spans="1:20">
      <c r="A16" s="12" t="s">
        <v>83</v>
      </c>
      <c r="B16" s="13">
        <v>45409</v>
      </c>
      <c r="C16" s="12" t="s">
        <v>84</v>
      </c>
      <c r="D16" s="12" t="s">
        <v>85</v>
      </c>
      <c r="E16" s="12" t="s">
        <v>86</v>
      </c>
      <c r="F16" s="12" t="s">
        <v>87</v>
      </c>
      <c r="G16" s="12" t="s">
        <v>25</v>
      </c>
      <c r="H16" s="12">
        <v>3</v>
      </c>
      <c r="I16" s="14">
        <v>699.99</v>
      </c>
      <c r="J16" s="12" t="s">
        <v>32</v>
      </c>
      <c r="K16" s="12" t="s">
        <v>56</v>
      </c>
      <c r="L16" s="12" t="s">
        <v>28</v>
      </c>
      <c r="M16" s="13">
        <v>44577</v>
      </c>
      <c r="N16" s="14">
        <v>2099.9699999999998</v>
      </c>
      <c r="O16" s="15">
        <f t="shared" ca="1" si="0"/>
        <v>46312</v>
      </c>
      <c r="P16" s="16">
        <f t="shared" ca="1" si="1"/>
        <v>46312.46113171296</v>
      </c>
      <c r="Q16" s="17">
        <f t="shared" ca="1" si="2"/>
        <v>4</v>
      </c>
      <c r="R16" s="7">
        <f t="shared" ca="1" si="3"/>
        <v>57</v>
      </c>
      <c r="S16" s="15">
        <f t="shared" si="4"/>
        <v>45412</v>
      </c>
      <c r="T16" s="7" t="str">
        <f t="shared" si="5"/>
        <v>Elect-Smar-P002</v>
      </c>
    </row>
    <row r="17" spans="1:20">
      <c r="A17" s="12" t="s">
        <v>88</v>
      </c>
      <c r="B17" s="13">
        <v>45409</v>
      </c>
      <c r="C17" s="12" t="s">
        <v>89</v>
      </c>
      <c r="D17" s="12" t="s">
        <v>90</v>
      </c>
      <c r="E17" s="12" t="s">
        <v>67</v>
      </c>
      <c r="F17" s="12" t="s">
        <v>68</v>
      </c>
      <c r="G17" s="12" t="s">
        <v>25</v>
      </c>
      <c r="H17" s="12">
        <v>1</v>
      </c>
      <c r="I17" s="14">
        <v>899.99</v>
      </c>
      <c r="J17" s="12" t="s">
        <v>63</v>
      </c>
      <c r="K17" s="12" t="s">
        <v>46</v>
      </c>
      <c r="L17" s="12" t="s">
        <v>42</v>
      </c>
      <c r="M17" s="13">
        <v>44920</v>
      </c>
      <c r="N17" s="14">
        <v>899.99</v>
      </c>
      <c r="O17" s="15">
        <f t="shared" ca="1" si="0"/>
        <v>46312</v>
      </c>
      <c r="P17" s="16">
        <f t="shared" ca="1" si="1"/>
        <v>46312.46113171296</v>
      </c>
      <c r="Q17" s="17">
        <f t="shared" ca="1" si="2"/>
        <v>3</v>
      </c>
      <c r="R17" s="7">
        <f t="shared" ca="1" si="3"/>
        <v>45</v>
      </c>
      <c r="S17" s="15">
        <f t="shared" si="4"/>
        <v>45412</v>
      </c>
      <c r="T17" s="7" t="str">
        <f t="shared" si="5"/>
        <v>Elect-Lapt-P001</v>
      </c>
    </row>
    <row r="18" spans="1:20">
      <c r="A18" s="12" t="s">
        <v>91</v>
      </c>
      <c r="B18" s="13">
        <v>45410</v>
      </c>
      <c r="C18" s="12" t="s">
        <v>92</v>
      </c>
      <c r="D18" s="12" t="s">
        <v>93</v>
      </c>
      <c r="E18" s="12" t="s">
        <v>50</v>
      </c>
      <c r="F18" s="12" t="s">
        <v>51</v>
      </c>
      <c r="G18" s="12" t="s">
        <v>52</v>
      </c>
      <c r="H18" s="12">
        <v>4</v>
      </c>
      <c r="I18" s="14">
        <v>149.99</v>
      </c>
      <c r="J18" s="12" t="s">
        <v>63</v>
      </c>
      <c r="K18" s="12" t="s">
        <v>46</v>
      </c>
      <c r="L18" s="12" t="s">
        <v>33</v>
      </c>
      <c r="M18" s="13">
        <v>45374</v>
      </c>
      <c r="N18" s="14">
        <v>599.96</v>
      </c>
      <c r="O18" s="15">
        <f t="shared" ca="1" si="0"/>
        <v>46312</v>
      </c>
      <c r="P18" s="16">
        <f t="shared" ca="1" si="1"/>
        <v>46312.46113171296</v>
      </c>
      <c r="Q18" s="17">
        <f t="shared" ca="1" si="2"/>
        <v>2</v>
      </c>
      <c r="R18" s="7">
        <f t="shared" ca="1" si="3"/>
        <v>30</v>
      </c>
      <c r="S18" s="15">
        <f t="shared" si="4"/>
        <v>45412</v>
      </c>
      <c r="T18" s="7" t="str">
        <f t="shared" si="5"/>
        <v>Furni-Book-P008</v>
      </c>
    </row>
    <row r="19" spans="1:20">
      <c r="A19" s="12" t="s">
        <v>94</v>
      </c>
      <c r="B19" s="13">
        <v>45410</v>
      </c>
      <c r="C19" s="12" t="s">
        <v>95</v>
      </c>
      <c r="D19" s="12" t="s">
        <v>96</v>
      </c>
      <c r="E19" s="12" t="s">
        <v>86</v>
      </c>
      <c r="F19" s="12" t="s">
        <v>87</v>
      </c>
      <c r="G19" s="12" t="s">
        <v>25</v>
      </c>
      <c r="H19" s="12">
        <v>2</v>
      </c>
      <c r="I19" s="14">
        <v>699.99</v>
      </c>
      <c r="J19" s="12" t="s">
        <v>26</v>
      </c>
      <c r="K19" s="12" t="s">
        <v>46</v>
      </c>
      <c r="L19" s="12" t="s">
        <v>28</v>
      </c>
      <c r="M19" s="13">
        <v>44781</v>
      </c>
      <c r="N19" s="14">
        <v>1399.98</v>
      </c>
      <c r="O19" s="15">
        <f t="shared" ca="1" si="0"/>
        <v>46312</v>
      </c>
      <c r="P19" s="16">
        <f t="shared" ca="1" si="1"/>
        <v>46312.46113171296</v>
      </c>
      <c r="Q19" s="17">
        <f t="shared" ca="1" si="2"/>
        <v>4</v>
      </c>
      <c r="R19" s="7">
        <f t="shared" ca="1" si="3"/>
        <v>50</v>
      </c>
      <c r="S19" s="15">
        <f t="shared" si="4"/>
        <v>45412</v>
      </c>
      <c r="T19" s="7" t="str">
        <f t="shared" si="5"/>
        <v>Elect-Smar-P002</v>
      </c>
    </row>
    <row r="20" spans="1:20">
      <c r="A20" s="12" t="s">
        <v>97</v>
      </c>
      <c r="B20" s="13">
        <v>45410</v>
      </c>
      <c r="C20" s="12" t="s">
        <v>92</v>
      </c>
      <c r="D20" s="12" t="s">
        <v>93</v>
      </c>
      <c r="E20" s="12" t="s">
        <v>67</v>
      </c>
      <c r="F20" s="12" t="s">
        <v>68</v>
      </c>
      <c r="G20" s="12" t="s">
        <v>25</v>
      </c>
      <c r="H20" s="12">
        <v>4</v>
      </c>
      <c r="I20" s="14">
        <v>899.99</v>
      </c>
      <c r="J20" s="12" t="s">
        <v>32</v>
      </c>
      <c r="K20" s="12" t="s">
        <v>56</v>
      </c>
      <c r="L20" s="12" t="s">
        <v>42</v>
      </c>
      <c r="M20" s="13">
        <v>45327</v>
      </c>
      <c r="N20" s="14">
        <v>3599.96</v>
      </c>
      <c r="O20" s="15">
        <f t="shared" ca="1" si="0"/>
        <v>46312</v>
      </c>
      <c r="P20" s="16">
        <f t="shared" ca="1" si="1"/>
        <v>46312.46113171296</v>
      </c>
      <c r="Q20" s="17">
        <f t="shared" ca="1" si="2"/>
        <v>2</v>
      </c>
      <c r="R20" s="7">
        <f t="shared" ca="1" si="3"/>
        <v>32</v>
      </c>
      <c r="S20" s="15">
        <f t="shared" si="4"/>
        <v>45412</v>
      </c>
      <c r="T20" s="7" t="str">
        <f t="shared" si="5"/>
        <v>Elect-Lapt-P001</v>
      </c>
    </row>
    <row r="21" spans="1:20">
      <c r="A21" s="12" t="s">
        <v>98</v>
      </c>
      <c r="B21" s="13">
        <v>45410</v>
      </c>
      <c r="C21" s="12" t="s">
        <v>99</v>
      </c>
      <c r="D21" s="12" t="s">
        <v>100</v>
      </c>
      <c r="E21" s="12" t="s">
        <v>23</v>
      </c>
      <c r="F21" s="12" t="s">
        <v>24</v>
      </c>
      <c r="G21" s="12" t="s">
        <v>25</v>
      </c>
      <c r="H21" s="12">
        <v>3</v>
      </c>
      <c r="I21" s="14">
        <v>249.99</v>
      </c>
      <c r="J21" s="12" t="s">
        <v>32</v>
      </c>
      <c r="K21" s="12" t="s">
        <v>46</v>
      </c>
      <c r="L21" s="12" t="s">
        <v>33</v>
      </c>
      <c r="M21" s="13">
        <v>45224</v>
      </c>
      <c r="N21" s="14">
        <v>749.97</v>
      </c>
      <c r="O21" s="15">
        <f t="shared" ca="1" si="0"/>
        <v>46312</v>
      </c>
      <c r="P21" s="16">
        <f t="shared" ca="1" si="1"/>
        <v>46312.46113171296</v>
      </c>
      <c r="Q21" s="17">
        <f t="shared" ca="1" si="2"/>
        <v>2</v>
      </c>
      <c r="R21" s="7">
        <f t="shared" ca="1" si="3"/>
        <v>35</v>
      </c>
      <c r="S21" s="15">
        <f t="shared" si="4"/>
        <v>45412</v>
      </c>
      <c r="T21" s="7" t="str">
        <f t="shared" si="5"/>
        <v>Elect-Moni-P009</v>
      </c>
    </row>
    <row r="22" spans="1:20">
      <c r="A22" s="12" t="s">
        <v>101</v>
      </c>
      <c r="B22" s="13">
        <v>45412</v>
      </c>
      <c r="C22" s="12" t="s">
        <v>102</v>
      </c>
      <c r="D22" s="12" t="s">
        <v>103</v>
      </c>
      <c r="E22" s="12" t="s">
        <v>86</v>
      </c>
      <c r="F22" s="12" t="s">
        <v>87</v>
      </c>
      <c r="G22" s="12" t="s">
        <v>25</v>
      </c>
      <c r="H22" s="12">
        <v>5</v>
      </c>
      <c r="I22" s="14">
        <v>699.99</v>
      </c>
      <c r="J22" s="12" t="s">
        <v>26</v>
      </c>
      <c r="K22" s="12" t="s">
        <v>56</v>
      </c>
      <c r="L22" s="12" t="s">
        <v>28</v>
      </c>
      <c r="M22" s="13">
        <v>45167</v>
      </c>
      <c r="N22" s="14">
        <v>3499.95</v>
      </c>
      <c r="O22" s="15">
        <f t="shared" ca="1" si="0"/>
        <v>46312</v>
      </c>
      <c r="P22" s="16">
        <f t="shared" ca="1" si="1"/>
        <v>46312.46113171296</v>
      </c>
      <c r="Q22" s="17">
        <f t="shared" ca="1" si="2"/>
        <v>3</v>
      </c>
      <c r="R22" s="7">
        <f t="shared" ca="1" si="3"/>
        <v>37</v>
      </c>
      <c r="S22" s="15">
        <f t="shared" si="4"/>
        <v>45412</v>
      </c>
      <c r="T22" s="7" t="str">
        <f t="shared" si="5"/>
        <v>Elect-Smar-P002</v>
      </c>
    </row>
    <row r="23" spans="1:20">
      <c r="A23" s="12" t="s">
        <v>104</v>
      </c>
      <c r="B23" s="13">
        <v>45413</v>
      </c>
      <c r="C23" s="12" t="s">
        <v>105</v>
      </c>
      <c r="D23" s="12" t="s">
        <v>106</v>
      </c>
      <c r="E23" s="12" t="s">
        <v>86</v>
      </c>
      <c r="F23" s="12" t="s">
        <v>87</v>
      </c>
      <c r="G23" s="12" t="s">
        <v>25</v>
      </c>
      <c r="H23" s="12">
        <v>4</v>
      </c>
      <c r="I23" s="14">
        <v>699.99</v>
      </c>
      <c r="J23" s="12" t="s">
        <v>26</v>
      </c>
      <c r="K23" s="12" t="s">
        <v>69</v>
      </c>
      <c r="L23" s="12" t="s">
        <v>42</v>
      </c>
      <c r="M23" s="13">
        <v>44409</v>
      </c>
      <c r="N23" s="14">
        <v>2799.96</v>
      </c>
      <c r="O23" s="15">
        <f t="shared" ca="1" si="0"/>
        <v>46312</v>
      </c>
      <c r="P23" s="16">
        <f t="shared" ca="1" si="1"/>
        <v>46312.46113171296</v>
      </c>
      <c r="Q23" s="17">
        <f t="shared" ca="1" si="2"/>
        <v>5</v>
      </c>
      <c r="R23" s="7">
        <f t="shared" ca="1" si="3"/>
        <v>62</v>
      </c>
      <c r="S23" s="15">
        <f t="shared" si="4"/>
        <v>45443</v>
      </c>
      <c r="T23" s="7" t="str">
        <f t="shared" si="5"/>
        <v>Elect-Smar-P002</v>
      </c>
    </row>
    <row r="24" spans="1:20">
      <c r="A24" s="12" t="s">
        <v>107</v>
      </c>
      <c r="B24" s="13">
        <v>45415</v>
      </c>
      <c r="C24" s="12" t="s">
        <v>108</v>
      </c>
      <c r="D24" s="12" t="s">
        <v>109</v>
      </c>
      <c r="E24" s="12" t="s">
        <v>23</v>
      </c>
      <c r="F24" s="12" t="s">
        <v>24</v>
      </c>
      <c r="G24" s="12" t="s">
        <v>25</v>
      </c>
      <c r="H24" s="12">
        <v>4</v>
      </c>
      <c r="I24" s="14">
        <v>249.99</v>
      </c>
      <c r="J24" s="12" t="s">
        <v>40</v>
      </c>
      <c r="K24" s="12" t="s">
        <v>46</v>
      </c>
      <c r="L24" s="12" t="s">
        <v>42</v>
      </c>
      <c r="M24" s="13">
        <v>44468</v>
      </c>
      <c r="N24" s="14">
        <v>999.96</v>
      </c>
      <c r="O24" s="15">
        <f t="shared" ca="1" si="0"/>
        <v>46312</v>
      </c>
      <c r="P24" s="16">
        <f t="shared" ca="1" si="1"/>
        <v>46312.46113171296</v>
      </c>
      <c r="Q24" s="17">
        <f t="shared" ca="1" si="2"/>
        <v>5</v>
      </c>
      <c r="R24" s="7">
        <f t="shared" ca="1" si="3"/>
        <v>60</v>
      </c>
      <c r="S24" s="15">
        <f t="shared" si="4"/>
        <v>45443</v>
      </c>
      <c r="T24" s="7" t="str">
        <f t="shared" si="5"/>
        <v>Elect-Moni-P009</v>
      </c>
    </row>
    <row r="25" spans="1:20">
      <c r="A25" s="12" t="s">
        <v>110</v>
      </c>
      <c r="B25" s="13">
        <v>45416</v>
      </c>
      <c r="C25" s="12" t="s">
        <v>92</v>
      </c>
      <c r="D25" s="12" t="s">
        <v>93</v>
      </c>
      <c r="E25" s="12" t="s">
        <v>111</v>
      </c>
      <c r="F25" s="12" t="s">
        <v>112</v>
      </c>
      <c r="G25" s="12" t="s">
        <v>52</v>
      </c>
      <c r="H25" s="12">
        <v>4</v>
      </c>
      <c r="I25" s="14">
        <v>299.99</v>
      </c>
      <c r="J25" s="12" t="s">
        <v>26</v>
      </c>
      <c r="K25" s="12" t="s">
        <v>56</v>
      </c>
      <c r="L25" s="12" t="s">
        <v>33</v>
      </c>
      <c r="M25" s="13">
        <v>44716</v>
      </c>
      <c r="N25" s="14">
        <v>1199.96</v>
      </c>
      <c r="O25" s="15">
        <f t="shared" ca="1" si="0"/>
        <v>46312</v>
      </c>
      <c r="P25" s="16">
        <f t="shared" ca="1" si="1"/>
        <v>46312.46113171296</v>
      </c>
      <c r="Q25" s="17">
        <f t="shared" ca="1" si="2"/>
        <v>4</v>
      </c>
      <c r="R25" s="7">
        <f t="shared" ca="1" si="3"/>
        <v>52</v>
      </c>
      <c r="S25" s="15">
        <f t="shared" si="4"/>
        <v>45443</v>
      </c>
      <c r="T25" s="7" t="str">
        <f t="shared" si="5"/>
        <v>Furni-Desk-P007</v>
      </c>
    </row>
    <row r="26" spans="1:20">
      <c r="A26" s="12" t="s">
        <v>113</v>
      </c>
      <c r="B26" s="13">
        <v>45422</v>
      </c>
      <c r="C26" s="12" t="s">
        <v>114</v>
      </c>
      <c r="D26" s="12" t="s">
        <v>115</v>
      </c>
      <c r="E26" s="12" t="s">
        <v>23</v>
      </c>
      <c r="F26" s="12" t="s">
        <v>24</v>
      </c>
      <c r="G26" s="12" t="s">
        <v>25</v>
      </c>
      <c r="H26" s="12">
        <v>5</v>
      </c>
      <c r="I26" s="14">
        <v>249.99</v>
      </c>
      <c r="J26" s="12" t="s">
        <v>32</v>
      </c>
      <c r="K26" s="12" t="s">
        <v>56</v>
      </c>
      <c r="L26" s="12" t="s">
        <v>42</v>
      </c>
      <c r="M26" s="13">
        <v>44525</v>
      </c>
      <c r="N26" s="14">
        <v>1249.95</v>
      </c>
      <c r="O26" s="15">
        <f t="shared" ca="1" si="0"/>
        <v>46312</v>
      </c>
      <c r="P26" s="16">
        <f t="shared" ca="1" si="1"/>
        <v>46312.46113171296</v>
      </c>
      <c r="Q26" s="17">
        <f t="shared" ca="1" si="2"/>
        <v>4</v>
      </c>
      <c r="R26" s="7">
        <f t="shared" ca="1" si="3"/>
        <v>58</v>
      </c>
      <c r="S26" s="15">
        <f t="shared" si="4"/>
        <v>45443</v>
      </c>
      <c r="T26" s="7" t="str">
        <f t="shared" si="5"/>
        <v>Elect-Moni-P009</v>
      </c>
    </row>
    <row r="27" spans="1:20">
      <c r="A27" s="12" t="s">
        <v>116</v>
      </c>
      <c r="B27" s="13">
        <v>45424</v>
      </c>
      <c r="C27" s="12" t="s">
        <v>74</v>
      </c>
      <c r="D27" s="12" t="s">
        <v>75</v>
      </c>
      <c r="E27" s="12" t="s">
        <v>111</v>
      </c>
      <c r="F27" s="12" t="s">
        <v>112</v>
      </c>
      <c r="G27" s="12" t="s">
        <v>52</v>
      </c>
      <c r="H27" s="12">
        <v>5</v>
      </c>
      <c r="I27" s="14">
        <v>299.99</v>
      </c>
      <c r="J27" s="12" t="s">
        <v>40</v>
      </c>
      <c r="K27" s="12" t="s">
        <v>69</v>
      </c>
      <c r="L27" s="12" t="s">
        <v>28</v>
      </c>
      <c r="M27" s="13">
        <v>45168</v>
      </c>
      <c r="N27" s="14">
        <v>1499.95</v>
      </c>
      <c r="O27" s="15">
        <f t="shared" ca="1" si="0"/>
        <v>46312</v>
      </c>
      <c r="P27" s="16">
        <f t="shared" ca="1" si="1"/>
        <v>46312.46113171296</v>
      </c>
      <c r="Q27" s="17">
        <f t="shared" ca="1" si="2"/>
        <v>3</v>
      </c>
      <c r="R27" s="7">
        <f t="shared" ca="1" si="3"/>
        <v>37</v>
      </c>
      <c r="S27" s="15">
        <f t="shared" si="4"/>
        <v>45443</v>
      </c>
      <c r="T27" s="7" t="str">
        <f t="shared" si="5"/>
        <v>Furni-Desk-P007</v>
      </c>
    </row>
    <row r="28" spans="1:20">
      <c r="A28" s="12" t="s">
        <v>117</v>
      </c>
      <c r="B28" s="13">
        <v>45424</v>
      </c>
      <c r="C28" s="12" t="s">
        <v>118</v>
      </c>
      <c r="D28" s="12" t="s">
        <v>119</v>
      </c>
      <c r="E28" s="12" t="s">
        <v>120</v>
      </c>
      <c r="F28" s="12" t="s">
        <v>121</v>
      </c>
      <c r="G28" s="12" t="s">
        <v>39</v>
      </c>
      <c r="H28" s="12">
        <v>3</v>
      </c>
      <c r="I28" s="14">
        <v>79.989999999999995</v>
      </c>
      <c r="J28" s="12" t="s">
        <v>40</v>
      </c>
      <c r="K28" s="12" t="s">
        <v>69</v>
      </c>
      <c r="L28" s="12" t="s">
        <v>33</v>
      </c>
      <c r="M28" s="13">
        <v>45012</v>
      </c>
      <c r="N28" s="14">
        <v>239.97</v>
      </c>
      <c r="O28" s="15">
        <f t="shared" ca="1" si="0"/>
        <v>46312</v>
      </c>
      <c r="P28" s="16">
        <f t="shared" ca="1" si="1"/>
        <v>46312.46113171296</v>
      </c>
      <c r="Q28" s="17">
        <f t="shared" ca="1" si="2"/>
        <v>3</v>
      </c>
      <c r="R28" s="7">
        <f t="shared" ca="1" si="3"/>
        <v>42</v>
      </c>
      <c r="S28" s="15">
        <f t="shared" si="4"/>
        <v>45443</v>
      </c>
      <c r="T28" s="7" t="str">
        <f t="shared" si="5"/>
        <v>Appli-Coff-P004</v>
      </c>
    </row>
    <row r="29" spans="1:20">
      <c r="A29" s="12" t="s">
        <v>122</v>
      </c>
      <c r="B29" s="13">
        <v>45424</v>
      </c>
      <c r="C29" s="12" t="s">
        <v>105</v>
      </c>
      <c r="D29" s="12" t="s">
        <v>106</v>
      </c>
      <c r="E29" s="12" t="s">
        <v>123</v>
      </c>
      <c r="F29" s="12" t="s">
        <v>124</v>
      </c>
      <c r="G29" s="12" t="s">
        <v>25</v>
      </c>
      <c r="H29" s="12">
        <v>5</v>
      </c>
      <c r="I29" s="14">
        <v>89.99</v>
      </c>
      <c r="J29" s="12" t="s">
        <v>26</v>
      </c>
      <c r="K29" s="12" t="s">
        <v>46</v>
      </c>
      <c r="L29" s="12" t="s">
        <v>33</v>
      </c>
      <c r="M29" s="13">
        <v>44919</v>
      </c>
      <c r="N29" s="14">
        <v>449.95</v>
      </c>
      <c r="O29" s="15">
        <f t="shared" ca="1" si="0"/>
        <v>46312</v>
      </c>
      <c r="P29" s="16">
        <f t="shared" ca="1" si="1"/>
        <v>46312.46113171296</v>
      </c>
      <c r="Q29" s="17">
        <f t="shared" ca="1" si="2"/>
        <v>3</v>
      </c>
      <c r="R29" s="7">
        <f t="shared" ca="1" si="3"/>
        <v>45</v>
      </c>
      <c r="S29" s="15">
        <f t="shared" si="4"/>
        <v>45443</v>
      </c>
      <c r="T29" s="7" t="str">
        <f t="shared" si="5"/>
        <v>Elect-Keyb-P010</v>
      </c>
    </row>
    <row r="30" spans="1:20">
      <c r="A30" s="12" t="s">
        <v>125</v>
      </c>
      <c r="B30" s="13">
        <v>45425</v>
      </c>
      <c r="C30" s="12" t="s">
        <v>126</v>
      </c>
      <c r="D30" s="12" t="s">
        <v>127</v>
      </c>
      <c r="E30" s="12" t="s">
        <v>37</v>
      </c>
      <c r="F30" s="12" t="s">
        <v>38</v>
      </c>
      <c r="G30" s="12" t="s">
        <v>39</v>
      </c>
      <c r="H30" s="12">
        <v>2</v>
      </c>
      <c r="I30" s="14">
        <v>59.99</v>
      </c>
      <c r="J30" s="12" t="s">
        <v>63</v>
      </c>
      <c r="K30" s="12" t="s">
        <v>27</v>
      </c>
      <c r="L30" s="12" t="s">
        <v>42</v>
      </c>
      <c r="M30" s="13">
        <v>45214</v>
      </c>
      <c r="N30" s="14">
        <v>119.98</v>
      </c>
      <c r="O30" s="15">
        <f t="shared" ca="1" si="0"/>
        <v>46312</v>
      </c>
      <c r="P30" s="16">
        <f t="shared" ca="1" si="1"/>
        <v>46312.46113171296</v>
      </c>
      <c r="Q30" s="17">
        <f t="shared" ca="1" si="2"/>
        <v>3</v>
      </c>
      <c r="R30" s="7">
        <f t="shared" ca="1" si="3"/>
        <v>36</v>
      </c>
      <c r="S30" s="15">
        <f t="shared" si="4"/>
        <v>45443</v>
      </c>
      <c r="T30" s="7" t="str">
        <f t="shared" si="5"/>
        <v>Appli-Blen-P005</v>
      </c>
    </row>
    <row r="31" spans="1:20">
      <c r="A31" s="12" t="s">
        <v>128</v>
      </c>
      <c r="B31" s="13">
        <v>45427</v>
      </c>
      <c r="C31" s="12" t="s">
        <v>129</v>
      </c>
      <c r="D31" s="12" t="s">
        <v>130</v>
      </c>
      <c r="E31" s="12" t="s">
        <v>37</v>
      </c>
      <c r="F31" s="12" t="s">
        <v>38</v>
      </c>
      <c r="G31" s="12" t="s">
        <v>39</v>
      </c>
      <c r="H31" s="12">
        <v>4</v>
      </c>
      <c r="I31" s="14">
        <v>59.99</v>
      </c>
      <c r="J31" s="12" t="s">
        <v>63</v>
      </c>
      <c r="K31" s="12" t="s">
        <v>69</v>
      </c>
      <c r="L31" s="12" t="s">
        <v>42</v>
      </c>
      <c r="M31" s="13">
        <v>44867</v>
      </c>
      <c r="N31" s="14">
        <v>239.96</v>
      </c>
      <c r="O31" s="15">
        <f t="shared" ca="1" si="0"/>
        <v>46312</v>
      </c>
      <c r="P31" s="16">
        <f t="shared" ca="1" si="1"/>
        <v>46312.46113171296</v>
      </c>
      <c r="Q31" s="17">
        <f t="shared" ca="1" si="2"/>
        <v>3</v>
      </c>
      <c r="R31" s="7">
        <f t="shared" ca="1" si="3"/>
        <v>47</v>
      </c>
      <c r="S31" s="15">
        <f t="shared" si="4"/>
        <v>45443</v>
      </c>
      <c r="T31" s="7" t="str">
        <f t="shared" si="5"/>
        <v>Appli-Blen-P005</v>
      </c>
    </row>
    <row r="32" spans="1:20">
      <c r="A32" s="12" t="s">
        <v>131</v>
      </c>
      <c r="B32" s="13">
        <v>45427</v>
      </c>
      <c r="C32" s="12" t="s">
        <v>61</v>
      </c>
      <c r="D32" s="12" t="s">
        <v>62</v>
      </c>
      <c r="E32" s="12" t="s">
        <v>132</v>
      </c>
      <c r="F32" s="12" t="s">
        <v>133</v>
      </c>
      <c r="G32" s="12" t="s">
        <v>52</v>
      </c>
      <c r="H32" s="12">
        <v>5</v>
      </c>
      <c r="I32" s="14">
        <v>199.99</v>
      </c>
      <c r="J32" s="12" t="s">
        <v>26</v>
      </c>
      <c r="K32" s="12" t="s">
        <v>41</v>
      </c>
      <c r="L32" s="12" t="s">
        <v>42</v>
      </c>
      <c r="M32" s="13">
        <v>44412</v>
      </c>
      <c r="N32" s="14">
        <v>999.95</v>
      </c>
      <c r="O32" s="15">
        <f t="shared" ca="1" si="0"/>
        <v>46312</v>
      </c>
      <c r="P32" s="16">
        <f t="shared" ca="1" si="1"/>
        <v>46312.46113171296</v>
      </c>
      <c r="Q32" s="17">
        <f t="shared" ca="1" si="2"/>
        <v>5</v>
      </c>
      <c r="R32" s="7">
        <f t="shared" ca="1" si="3"/>
        <v>62</v>
      </c>
      <c r="S32" s="15">
        <f t="shared" si="4"/>
        <v>45443</v>
      </c>
      <c r="T32" s="7" t="str">
        <f t="shared" si="5"/>
        <v>Furni-Offi-P006</v>
      </c>
    </row>
    <row r="33" spans="1:20">
      <c r="A33" s="12" t="s">
        <v>134</v>
      </c>
      <c r="B33" s="13">
        <v>45428</v>
      </c>
      <c r="C33" s="12" t="s">
        <v>135</v>
      </c>
      <c r="D33" s="12" t="s">
        <v>136</v>
      </c>
      <c r="E33" s="12" t="s">
        <v>50</v>
      </c>
      <c r="F33" s="12" t="s">
        <v>51</v>
      </c>
      <c r="G33" s="12" t="s">
        <v>52</v>
      </c>
      <c r="H33" s="12">
        <v>2</v>
      </c>
      <c r="I33" s="14">
        <v>149.99</v>
      </c>
      <c r="J33" s="12" t="s">
        <v>32</v>
      </c>
      <c r="K33" s="12" t="s">
        <v>56</v>
      </c>
      <c r="L33" s="12" t="s">
        <v>28</v>
      </c>
      <c r="M33" s="13">
        <v>44823</v>
      </c>
      <c r="N33" s="14">
        <v>299.98</v>
      </c>
      <c r="O33" s="15">
        <f t="shared" ca="1" si="0"/>
        <v>46312</v>
      </c>
      <c r="P33" s="16">
        <f t="shared" ca="1" si="1"/>
        <v>46312.46113171296</v>
      </c>
      <c r="Q33" s="17">
        <f t="shared" ca="1" si="2"/>
        <v>4</v>
      </c>
      <c r="R33" s="7">
        <f t="shared" ca="1" si="3"/>
        <v>48</v>
      </c>
      <c r="S33" s="15">
        <f t="shared" si="4"/>
        <v>45443</v>
      </c>
      <c r="T33" s="7" t="str">
        <f t="shared" si="5"/>
        <v>Furni-Book-P008</v>
      </c>
    </row>
    <row r="34" spans="1:20">
      <c r="A34" s="12" t="s">
        <v>137</v>
      </c>
      <c r="B34" s="13">
        <v>45430</v>
      </c>
      <c r="C34" s="12" t="s">
        <v>138</v>
      </c>
      <c r="D34" s="12" t="s">
        <v>139</v>
      </c>
      <c r="E34" s="12" t="s">
        <v>50</v>
      </c>
      <c r="F34" s="12" t="s">
        <v>51</v>
      </c>
      <c r="G34" s="12" t="s">
        <v>52</v>
      </c>
      <c r="H34" s="12">
        <v>3</v>
      </c>
      <c r="I34" s="14">
        <v>149.99</v>
      </c>
      <c r="J34" s="12" t="s">
        <v>32</v>
      </c>
      <c r="K34" s="12" t="s">
        <v>56</v>
      </c>
      <c r="L34" s="12" t="s">
        <v>33</v>
      </c>
      <c r="M34" s="13">
        <v>45068</v>
      </c>
      <c r="N34" s="14">
        <v>449.97</v>
      </c>
      <c r="O34" s="15">
        <f t="shared" ca="1" si="0"/>
        <v>46312</v>
      </c>
      <c r="P34" s="16">
        <f t="shared" ca="1" si="1"/>
        <v>46312.46113171296</v>
      </c>
      <c r="Q34" s="17">
        <f t="shared" ca="1" si="2"/>
        <v>3</v>
      </c>
      <c r="R34" s="7">
        <f t="shared" ca="1" si="3"/>
        <v>40</v>
      </c>
      <c r="S34" s="15">
        <f t="shared" si="4"/>
        <v>45443</v>
      </c>
      <c r="T34" s="7" t="str">
        <f t="shared" si="5"/>
        <v>Furni-Book-P008</v>
      </c>
    </row>
    <row r="35" spans="1:20">
      <c r="A35" s="12" t="s">
        <v>140</v>
      </c>
      <c r="B35" s="13">
        <v>45432</v>
      </c>
      <c r="C35" s="12" t="s">
        <v>35</v>
      </c>
      <c r="D35" s="12" t="s">
        <v>36</v>
      </c>
      <c r="E35" s="12" t="s">
        <v>67</v>
      </c>
      <c r="F35" s="12" t="s">
        <v>68</v>
      </c>
      <c r="G35" s="12" t="s">
        <v>25</v>
      </c>
      <c r="H35" s="12">
        <v>1</v>
      </c>
      <c r="I35" s="14">
        <v>899.99</v>
      </c>
      <c r="J35" s="12" t="s">
        <v>32</v>
      </c>
      <c r="K35" s="12" t="s">
        <v>56</v>
      </c>
      <c r="L35" s="12" t="s">
        <v>33</v>
      </c>
      <c r="M35" s="13">
        <v>44578</v>
      </c>
      <c r="N35" s="14">
        <v>899.99</v>
      </c>
      <c r="O35" s="15">
        <f t="shared" ca="1" si="0"/>
        <v>46312</v>
      </c>
      <c r="P35" s="16">
        <f t="shared" ca="1" si="1"/>
        <v>46312.46113171296</v>
      </c>
      <c r="Q35" s="17">
        <f t="shared" ca="1" si="2"/>
        <v>4</v>
      </c>
      <c r="R35" s="7">
        <f t="shared" ca="1" si="3"/>
        <v>57</v>
      </c>
      <c r="S35" s="15">
        <f t="shared" si="4"/>
        <v>45443</v>
      </c>
      <c r="T35" s="7" t="str">
        <f t="shared" si="5"/>
        <v>Elect-Lapt-P001</v>
      </c>
    </row>
    <row r="36" spans="1:20">
      <c r="A36" s="12" t="s">
        <v>141</v>
      </c>
      <c r="B36" s="13">
        <v>45434</v>
      </c>
      <c r="C36" s="12" t="s">
        <v>105</v>
      </c>
      <c r="D36" s="12" t="s">
        <v>106</v>
      </c>
      <c r="E36" s="12" t="s">
        <v>111</v>
      </c>
      <c r="F36" s="12" t="s">
        <v>112</v>
      </c>
      <c r="G36" s="12" t="s">
        <v>52</v>
      </c>
      <c r="H36" s="12">
        <v>3</v>
      </c>
      <c r="I36" s="14">
        <v>299.99</v>
      </c>
      <c r="J36" s="12" t="s">
        <v>32</v>
      </c>
      <c r="K36" s="12" t="s">
        <v>69</v>
      </c>
      <c r="L36" s="12" t="s">
        <v>28</v>
      </c>
      <c r="M36" s="13">
        <v>44824</v>
      </c>
      <c r="N36" s="14">
        <v>899.97</v>
      </c>
      <c r="O36" s="15">
        <f t="shared" ca="1" si="0"/>
        <v>46312</v>
      </c>
      <c r="P36" s="16">
        <f t="shared" ca="1" si="1"/>
        <v>46312.46113171296</v>
      </c>
      <c r="Q36" s="17">
        <f t="shared" ca="1" si="2"/>
        <v>4</v>
      </c>
      <c r="R36" s="7">
        <f t="shared" ca="1" si="3"/>
        <v>48</v>
      </c>
      <c r="S36" s="15">
        <f t="shared" si="4"/>
        <v>45443</v>
      </c>
      <c r="T36" s="7" t="str">
        <f t="shared" si="5"/>
        <v>Furni-Desk-P007</v>
      </c>
    </row>
    <row r="37" spans="1:20">
      <c r="A37" s="12" t="s">
        <v>142</v>
      </c>
      <c r="B37" s="13">
        <v>45435</v>
      </c>
      <c r="C37" s="12" t="s">
        <v>135</v>
      </c>
      <c r="D37" s="12" t="s">
        <v>136</v>
      </c>
      <c r="E37" s="12" t="s">
        <v>120</v>
      </c>
      <c r="F37" s="12" t="s">
        <v>121</v>
      </c>
      <c r="G37" s="12" t="s">
        <v>39</v>
      </c>
      <c r="H37" s="12">
        <v>3</v>
      </c>
      <c r="I37" s="14">
        <v>79.989999999999995</v>
      </c>
      <c r="J37" s="12" t="s">
        <v>26</v>
      </c>
      <c r="K37" s="12" t="s">
        <v>41</v>
      </c>
      <c r="L37" s="12" t="s">
        <v>28</v>
      </c>
      <c r="M37" s="13">
        <v>45046</v>
      </c>
      <c r="N37" s="14">
        <v>239.97</v>
      </c>
      <c r="O37" s="15">
        <f t="shared" ca="1" si="0"/>
        <v>46312</v>
      </c>
      <c r="P37" s="16">
        <f t="shared" ca="1" si="1"/>
        <v>46312.46113171296</v>
      </c>
      <c r="Q37" s="17">
        <f t="shared" ca="1" si="2"/>
        <v>3</v>
      </c>
      <c r="R37" s="7">
        <f t="shared" ca="1" si="3"/>
        <v>41</v>
      </c>
      <c r="S37" s="15">
        <f t="shared" si="4"/>
        <v>45443</v>
      </c>
      <c r="T37" s="7" t="str">
        <f t="shared" si="5"/>
        <v>Appli-Coff-P004</v>
      </c>
    </row>
    <row r="38" spans="1:20">
      <c r="A38" s="12" t="s">
        <v>143</v>
      </c>
      <c r="B38" s="13">
        <v>45438</v>
      </c>
      <c r="C38" s="12" t="s">
        <v>144</v>
      </c>
      <c r="D38" s="12" t="s">
        <v>145</v>
      </c>
      <c r="E38" s="12" t="s">
        <v>132</v>
      </c>
      <c r="F38" s="12" t="s">
        <v>133</v>
      </c>
      <c r="G38" s="12" t="s">
        <v>52</v>
      </c>
      <c r="H38" s="12">
        <v>3</v>
      </c>
      <c r="I38" s="14">
        <v>199.99</v>
      </c>
      <c r="J38" s="12" t="s">
        <v>32</v>
      </c>
      <c r="K38" s="12" t="s">
        <v>46</v>
      </c>
      <c r="L38" s="12" t="s">
        <v>33</v>
      </c>
      <c r="M38" s="13">
        <v>45292</v>
      </c>
      <c r="N38" s="14">
        <v>599.97</v>
      </c>
      <c r="O38" s="15">
        <f t="shared" ca="1" si="0"/>
        <v>46312</v>
      </c>
      <c r="P38" s="16">
        <f t="shared" ca="1" si="1"/>
        <v>46312.46113171296</v>
      </c>
      <c r="Q38" s="17">
        <f t="shared" ca="1" si="2"/>
        <v>2</v>
      </c>
      <c r="R38" s="7">
        <f t="shared" ca="1" si="3"/>
        <v>33</v>
      </c>
      <c r="S38" s="15">
        <f t="shared" si="4"/>
        <v>45443</v>
      </c>
      <c r="T38" s="7" t="str">
        <f t="shared" si="5"/>
        <v>Furni-Offi-P006</v>
      </c>
    </row>
    <row r="39" spans="1:20">
      <c r="A39" s="12" t="s">
        <v>146</v>
      </c>
      <c r="B39" s="13">
        <v>45440</v>
      </c>
      <c r="C39" s="12" t="s">
        <v>147</v>
      </c>
      <c r="D39" s="12" t="s">
        <v>148</v>
      </c>
      <c r="E39" s="12" t="s">
        <v>86</v>
      </c>
      <c r="F39" s="12" t="s">
        <v>87</v>
      </c>
      <c r="G39" s="12" t="s">
        <v>25</v>
      </c>
      <c r="H39" s="12">
        <v>5</v>
      </c>
      <c r="I39" s="14">
        <v>699.99</v>
      </c>
      <c r="J39" s="12" t="s">
        <v>40</v>
      </c>
      <c r="K39" s="12" t="s">
        <v>56</v>
      </c>
      <c r="L39" s="12" t="s">
        <v>42</v>
      </c>
      <c r="M39" s="13">
        <v>44407</v>
      </c>
      <c r="N39" s="14">
        <v>3499.95</v>
      </c>
      <c r="O39" s="15">
        <f t="shared" ca="1" si="0"/>
        <v>46312</v>
      </c>
      <c r="P39" s="16">
        <f t="shared" ca="1" si="1"/>
        <v>46312.46113171296</v>
      </c>
      <c r="Q39" s="17">
        <f t="shared" ca="1" si="2"/>
        <v>5</v>
      </c>
      <c r="R39" s="7">
        <f t="shared" ca="1" si="3"/>
        <v>62</v>
      </c>
      <c r="S39" s="15">
        <f t="shared" si="4"/>
        <v>45443</v>
      </c>
      <c r="T39" s="7" t="str">
        <f t="shared" si="5"/>
        <v>Elect-Smar-P002</v>
      </c>
    </row>
    <row r="40" spans="1:20">
      <c r="A40" s="12" t="s">
        <v>149</v>
      </c>
      <c r="B40" s="13">
        <v>45441</v>
      </c>
      <c r="C40" s="12" t="s">
        <v>150</v>
      </c>
      <c r="D40" s="12" t="s">
        <v>151</v>
      </c>
      <c r="E40" s="12" t="s">
        <v>123</v>
      </c>
      <c r="F40" s="12" t="s">
        <v>124</v>
      </c>
      <c r="G40" s="12" t="s">
        <v>25</v>
      </c>
      <c r="H40" s="12">
        <v>3</v>
      </c>
      <c r="I40" s="14">
        <v>89.99</v>
      </c>
      <c r="J40" s="12" t="s">
        <v>40</v>
      </c>
      <c r="K40" s="12" t="s">
        <v>27</v>
      </c>
      <c r="L40" s="12" t="s">
        <v>33</v>
      </c>
      <c r="M40" s="13">
        <v>45120</v>
      </c>
      <c r="N40" s="14">
        <v>269.97000000000003</v>
      </c>
      <c r="O40" s="15">
        <f t="shared" ca="1" si="0"/>
        <v>46312</v>
      </c>
      <c r="P40" s="16">
        <f t="shared" ca="1" si="1"/>
        <v>46312.46113171296</v>
      </c>
      <c r="Q40" s="17">
        <f t="shared" ca="1" si="2"/>
        <v>3</v>
      </c>
      <c r="R40" s="7">
        <f t="shared" ca="1" si="3"/>
        <v>39</v>
      </c>
      <c r="S40" s="15">
        <f t="shared" si="4"/>
        <v>45443</v>
      </c>
      <c r="T40" s="7" t="str">
        <f t="shared" si="5"/>
        <v>Elect-Keyb-P010</v>
      </c>
    </row>
    <row r="41" spans="1:20">
      <c r="A41" s="12" t="s">
        <v>152</v>
      </c>
      <c r="B41" s="13">
        <v>45443</v>
      </c>
      <c r="C41" s="12" t="s">
        <v>153</v>
      </c>
      <c r="D41" s="12" t="s">
        <v>154</v>
      </c>
      <c r="E41" s="12" t="s">
        <v>120</v>
      </c>
      <c r="F41" s="12" t="s">
        <v>121</v>
      </c>
      <c r="G41" s="12" t="s">
        <v>39</v>
      </c>
      <c r="H41" s="12">
        <v>1</v>
      </c>
      <c r="I41" s="14">
        <v>79.989999999999995</v>
      </c>
      <c r="J41" s="12" t="s">
        <v>26</v>
      </c>
      <c r="K41" s="12" t="s">
        <v>46</v>
      </c>
      <c r="L41" s="12" t="s">
        <v>42</v>
      </c>
      <c r="M41" s="13">
        <v>44917</v>
      </c>
      <c r="N41" s="14">
        <v>79.989999999999995</v>
      </c>
      <c r="O41" s="15">
        <f t="shared" ca="1" si="0"/>
        <v>46312</v>
      </c>
      <c r="P41" s="16">
        <f t="shared" ca="1" si="1"/>
        <v>46312.46113171296</v>
      </c>
      <c r="Q41" s="17">
        <f t="shared" ca="1" si="2"/>
        <v>3</v>
      </c>
      <c r="R41" s="7">
        <f t="shared" ca="1" si="3"/>
        <v>45</v>
      </c>
      <c r="S41" s="15">
        <f t="shared" si="4"/>
        <v>45443</v>
      </c>
      <c r="T41" s="7" t="str">
        <f t="shared" si="5"/>
        <v>Appli-Coff-P004</v>
      </c>
    </row>
    <row r="42" spans="1:20">
      <c r="A42" s="12" t="s">
        <v>155</v>
      </c>
      <c r="B42" s="13">
        <v>45444</v>
      </c>
      <c r="C42" s="12" t="s">
        <v>156</v>
      </c>
      <c r="D42" s="12" t="s">
        <v>157</v>
      </c>
      <c r="E42" s="12" t="s">
        <v>37</v>
      </c>
      <c r="F42" s="12" t="s">
        <v>38</v>
      </c>
      <c r="G42" s="12" t="s">
        <v>39</v>
      </c>
      <c r="H42" s="12">
        <v>2</v>
      </c>
      <c r="I42" s="14">
        <v>59.99</v>
      </c>
      <c r="J42" s="12" t="s">
        <v>26</v>
      </c>
      <c r="K42" s="12" t="s">
        <v>56</v>
      </c>
      <c r="L42" s="12" t="s">
        <v>28</v>
      </c>
      <c r="M42" s="13">
        <v>45390</v>
      </c>
      <c r="N42" s="14">
        <v>119.98</v>
      </c>
      <c r="O42" s="15">
        <f t="shared" ca="1" si="0"/>
        <v>46312</v>
      </c>
      <c r="P42" s="16">
        <f t="shared" ca="1" si="1"/>
        <v>46312.46113171296</v>
      </c>
      <c r="Q42" s="17">
        <f t="shared" ca="1" si="2"/>
        <v>2</v>
      </c>
      <c r="R42" s="7">
        <f t="shared" ca="1" si="3"/>
        <v>30</v>
      </c>
      <c r="S42" s="15">
        <f t="shared" si="4"/>
        <v>45473</v>
      </c>
      <c r="T42" s="7" t="str">
        <f t="shared" si="5"/>
        <v>Appli-Blen-P005</v>
      </c>
    </row>
    <row r="43" spans="1:20">
      <c r="A43" s="12" t="s">
        <v>158</v>
      </c>
      <c r="B43" s="13">
        <v>45444</v>
      </c>
      <c r="C43" s="12" t="s">
        <v>61</v>
      </c>
      <c r="D43" s="12" t="s">
        <v>62</v>
      </c>
      <c r="E43" s="12" t="s">
        <v>123</v>
      </c>
      <c r="F43" s="12" t="s">
        <v>124</v>
      </c>
      <c r="G43" s="12" t="s">
        <v>25</v>
      </c>
      <c r="H43" s="12">
        <v>1</v>
      </c>
      <c r="I43" s="14">
        <v>89.99</v>
      </c>
      <c r="J43" s="12" t="s">
        <v>26</v>
      </c>
      <c r="K43" s="12" t="s">
        <v>46</v>
      </c>
      <c r="L43" s="12" t="s">
        <v>28</v>
      </c>
      <c r="M43" s="13">
        <v>45141</v>
      </c>
      <c r="N43" s="14">
        <v>89.99</v>
      </c>
      <c r="O43" s="15">
        <f t="shared" ca="1" si="0"/>
        <v>46312</v>
      </c>
      <c r="P43" s="16">
        <f t="shared" ca="1" si="1"/>
        <v>46312.46113171296</v>
      </c>
      <c r="Q43" s="17">
        <f t="shared" ca="1" si="2"/>
        <v>3</v>
      </c>
      <c r="R43" s="7">
        <f t="shared" ca="1" si="3"/>
        <v>38</v>
      </c>
      <c r="S43" s="15">
        <f t="shared" si="4"/>
        <v>45473</v>
      </c>
      <c r="T43" s="7" t="str">
        <f t="shared" si="5"/>
        <v>Elect-Keyb-P010</v>
      </c>
    </row>
    <row r="44" spans="1:20">
      <c r="A44" s="12" t="s">
        <v>159</v>
      </c>
      <c r="B44" s="13">
        <v>45446</v>
      </c>
      <c r="C44" s="12" t="s">
        <v>160</v>
      </c>
      <c r="D44" s="12" t="s">
        <v>161</v>
      </c>
      <c r="E44" s="12" t="s">
        <v>123</v>
      </c>
      <c r="F44" s="12" t="s">
        <v>124</v>
      </c>
      <c r="G44" s="12" t="s">
        <v>25</v>
      </c>
      <c r="H44" s="12">
        <v>5</v>
      </c>
      <c r="I44" s="14">
        <v>89.99</v>
      </c>
      <c r="J44" s="12" t="s">
        <v>32</v>
      </c>
      <c r="K44" s="12" t="s">
        <v>69</v>
      </c>
      <c r="L44" s="12" t="s">
        <v>42</v>
      </c>
      <c r="M44" s="13">
        <v>44587</v>
      </c>
      <c r="N44" s="14">
        <v>449.95</v>
      </c>
      <c r="O44" s="15">
        <f t="shared" ca="1" si="0"/>
        <v>46312</v>
      </c>
      <c r="P44" s="16">
        <f t="shared" ca="1" si="1"/>
        <v>46312.46113171296</v>
      </c>
      <c r="Q44" s="17">
        <f t="shared" ca="1" si="2"/>
        <v>4</v>
      </c>
      <c r="R44" s="7">
        <f t="shared" ca="1" si="3"/>
        <v>56</v>
      </c>
      <c r="S44" s="15">
        <f t="shared" si="4"/>
        <v>45473</v>
      </c>
      <c r="T44" s="7" t="str">
        <f t="shared" si="5"/>
        <v>Elect-Keyb-P010</v>
      </c>
    </row>
    <row r="45" spans="1:20">
      <c r="A45" s="12" t="s">
        <v>162</v>
      </c>
      <c r="B45" s="13">
        <v>45449</v>
      </c>
      <c r="C45" s="12" t="s">
        <v>30</v>
      </c>
      <c r="D45" s="12" t="s">
        <v>31</v>
      </c>
      <c r="E45" s="12" t="s">
        <v>23</v>
      </c>
      <c r="F45" s="12" t="s">
        <v>24</v>
      </c>
      <c r="G45" s="12" t="s">
        <v>25</v>
      </c>
      <c r="H45" s="12">
        <v>5</v>
      </c>
      <c r="I45" s="14">
        <v>249.99</v>
      </c>
      <c r="J45" s="12" t="s">
        <v>32</v>
      </c>
      <c r="K45" s="12" t="s">
        <v>69</v>
      </c>
      <c r="L45" s="12" t="s">
        <v>42</v>
      </c>
      <c r="M45" s="13">
        <v>44707</v>
      </c>
      <c r="N45" s="14">
        <v>1249.95</v>
      </c>
      <c r="O45" s="15">
        <f t="shared" ca="1" si="0"/>
        <v>46312</v>
      </c>
      <c r="P45" s="16">
        <f t="shared" ca="1" si="1"/>
        <v>46312.46113171296</v>
      </c>
      <c r="Q45" s="17">
        <f t="shared" ca="1" si="2"/>
        <v>4</v>
      </c>
      <c r="R45" s="7">
        <f t="shared" ca="1" si="3"/>
        <v>52</v>
      </c>
      <c r="S45" s="15">
        <f t="shared" si="4"/>
        <v>45473</v>
      </c>
      <c r="T45" s="7" t="str">
        <f t="shared" si="5"/>
        <v>Elect-Moni-P009</v>
      </c>
    </row>
    <row r="46" spans="1:20">
      <c r="A46" s="12" t="s">
        <v>163</v>
      </c>
      <c r="B46" s="13">
        <v>45449</v>
      </c>
      <c r="C46" s="12" t="s">
        <v>164</v>
      </c>
      <c r="D46" s="12" t="s">
        <v>165</v>
      </c>
      <c r="E46" s="12" t="s">
        <v>123</v>
      </c>
      <c r="F46" s="12" t="s">
        <v>124</v>
      </c>
      <c r="G46" s="12" t="s">
        <v>25</v>
      </c>
      <c r="H46" s="12">
        <v>1</v>
      </c>
      <c r="I46" s="14">
        <v>89.99</v>
      </c>
      <c r="J46" s="12" t="s">
        <v>32</v>
      </c>
      <c r="K46" s="12" t="s">
        <v>41</v>
      </c>
      <c r="L46" s="12" t="s">
        <v>42</v>
      </c>
      <c r="M46" s="13">
        <v>44582</v>
      </c>
      <c r="N46" s="14">
        <v>89.99</v>
      </c>
      <c r="O46" s="15">
        <f t="shared" ca="1" si="0"/>
        <v>46312</v>
      </c>
      <c r="P46" s="16">
        <f t="shared" ca="1" si="1"/>
        <v>46312.46113171296</v>
      </c>
      <c r="Q46" s="17">
        <f t="shared" ca="1" si="2"/>
        <v>4</v>
      </c>
      <c r="R46" s="7">
        <f t="shared" ca="1" si="3"/>
        <v>56</v>
      </c>
      <c r="S46" s="15">
        <f t="shared" si="4"/>
        <v>45473</v>
      </c>
      <c r="T46" s="7" t="str">
        <f t="shared" si="5"/>
        <v>Elect-Keyb-P010</v>
      </c>
    </row>
    <row r="47" spans="1:20">
      <c r="A47" s="12" t="s">
        <v>166</v>
      </c>
      <c r="B47" s="13">
        <v>45450</v>
      </c>
      <c r="C47" s="12" t="s">
        <v>48</v>
      </c>
      <c r="D47" s="12" t="s">
        <v>49</v>
      </c>
      <c r="E47" s="12" t="s">
        <v>50</v>
      </c>
      <c r="F47" s="12" t="s">
        <v>51</v>
      </c>
      <c r="G47" s="12" t="s">
        <v>52</v>
      </c>
      <c r="H47" s="12">
        <v>2</v>
      </c>
      <c r="I47" s="14">
        <v>149.99</v>
      </c>
      <c r="J47" s="12" t="s">
        <v>26</v>
      </c>
      <c r="K47" s="12" t="s">
        <v>69</v>
      </c>
      <c r="L47" s="12" t="s">
        <v>33</v>
      </c>
      <c r="M47" s="13">
        <v>44645</v>
      </c>
      <c r="N47" s="14">
        <v>299.98</v>
      </c>
      <c r="O47" s="15">
        <f t="shared" ca="1" si="0"/>
        <v>46312</v>
      </c>
      <c r="P47" s="16">
        <f t="shared" ca="1" si="1"/>
        <v>46312.46113171296</v>
      </c>
      <c r="Q47" s="17">
        <f t="shared" ca="1" si="2"/>
        <v>4</v>
      </c>
      <c r="R47" s="7">
        <f t="shared" ca="1" si="3"/>
        <v>54</v>
      </c>
      <c r="S47" s="15">
        <f t="shared" si="4"/>
        <v>45473</v>
      </c>
      <c r="T47" s="7" t="str">
        <f t="shared" si="5"/>
        <v>Furni-Book-P008</v>
      </c>
    </row>
    <row r="48" spans="1:20">
      <c r="A48" s="12" t="s">
        <v>167</v>
      </c>
      <c r="B48" s="13">
        <v>45452</v>
      </c>
      <c r="C48" s="12" t="s">
        <v>168</v>
      </c>
      <c r="D48" s="12" t="s">
        <v>169</v>
      </c>
      <c r="E48" s="12" t="s">
        <v>37</v>
      </c>
      <c r="F48" s="12" t="s">
        <v>38</v>
      </c>
      <c r="G48" s="12" t="s">
        <v>39</v>
      </c>
      <c r="H48" s="12">
        <v>4</v>
      </c>
      <c r="I48" s="14">
        <v>59.99</v>
      </c>
      <c r="J48" s="12" t="s">
        <v>26</v>
      </c>
      <c r="K48" s="12" t="s">
        <v>69</v>
      </c>
      <c r="L48" s="12" t="s">
        <v>42</v>
      </c>
      <c r="M48" s="13">
        <v>44435</v>
      </c>
      <c r="N48" s="14">
        <v>239.96</v>
      </c>
      <c r="O48" s="15">
        <f t="shared" ca="1" si="0"/>
        <v>46312</v>
      </c>
      <c r="P48" s="16">
        <f t="shared" ca="1" si="1"/>
        <v>46312.46113171296</v>
      </c>
      <c r="Q48" s="17">
        <f t="shared" ca="1" si="2"/>
        <v>5</v>
      </c>
      <c r="R48" s="7">
        <f t="shared" ca="1" si="3"/>
        <v>61</v>
      </c>
      <c r="S48" s="15">
        <f t="shared" si="4"/>
        <v>45473</v>
      </c>
      <c r="T48" s="7" t="str">
        <f t="shared" si="5"/>
        <v>Appli-Blen-P005</v>
      </c>
    </row>
    <row r="49" spans="1:20">
      <c r="A49" s="12" t="s">
        <v>170</v>
      </c>
      <c r="B49" s="13">
        <v>45456</v>
      </c>
      <c r="C49" s="12" t="s">
        <v>135</v>
      </c>
      <c r="D49" s="12" t="s">
        <v>136</v>
      </c>
      <c r="E49" s="12" t="s">
        <v>123</v>
      </c>
      <c r="F49" s="12" t="s">
        <v>124</v>
      </c>
      <c r="G49" s="12" t="s">
        <v>25</v>
      </c>
      <c r="H49" s="12">
        <v>5</v>
      </c>
      <c r="I49" s="14">
        <v>89.99</v>
      </c>
      <c r="J49" s="12" t="s">
        <v>26</v>
      </c>
      <c r="K49" s="12" t="s">
        <v>27</v>
      </c>
      <c r="L49" s="12" t="s">
        <v>33</v>
      </c>
      <c r="M49" s="13">
        <v>44579</v>
      </c>
      <c r="N49" s="14">
        <v>449.95</v>
      </c>
      <c r="O49" s="15">
        <f t="shared" ca="1" si="0"/>
        <v>46312</v>
      </c>
      <c r="P49" s="16">
        <f t="shared" ca="1" si="1"/>
        <v>46312.46113171296</v>
      </c>
      <c r="Q49" s="17">
        <f t="shared" ca="1" si="2"/>
        <v>4</v>
      </c>
      <c r="R49" s="7">
        <f t="shared" ca="1" si="3"/>
        <v>56</v>
      </c>
      <c r="S49" s="15">
        <f t="shared" si="4"/>
        <v>45473</v>
      </c>
      <c r="T49" s="7" t="str">
        <f t="shared" si="5"/>
        <v>Elect-Keyb-P010</v>
      </c>
    </row>
    <row r="50" spans="1:20">
      <c r="A50" s="12" t="s">
        <v>171</v>
      </c>
      <c r="B50" s="13">
        <v>45459</v>
      </c>
      <c r="C50" s="12" t="s">
        <v>105</v>
      </c>
      <c r="D50" s="12" t="s">
        <v>106</v>
      </c>
      <c r="E50" s="12" t="s">
        <v>123</v>
      </c>
      <c r="F50" s="12" t="s">
        <v>124</v>
      </c>
      <c r="G50" s="12" t="s">
        <v>25</v>
      </c>
      <c r="H50" s="12">
        <v>2</v>
      </c>
      <c r="I50" s="14">
        <v>89.99</v>
      </c>
      <c r="J50" s="12" t="s">
        <v>32</v>
      </c>
      <c r="K50" s="12" t="s">
        <v>41</v>
      </c>
      <c r="L50" s="12" t="s">
        <v>33</v>
      </c>
      <c r="M50" s="13">
        <v>44471</v>
      </c>
      <c r="N50" s="14">
        <v>179.98</v>
      </c>
      <c r="O50" s="15">
        <f t="shared" ca="1" si="0"/>
        <v>46312</v>
      </c>
      <c r="P50" s="16">
        <f t="shared" ca="1" si="1"/>
        <v>46312.46113171296</v>
      </c>
      <c r="Q50" s="17">
        <f t="shared" ca="1" si="2"/>
        <v>5</v>
      </c>
      <c r="R50" s="7">
        <f t="shared" ca="1" si="3"/>
        <v>60</v>
      </c>
      <c r="S50" s="15">
        <f t="shared" si="4"/>
        <v>45473</v>
      </c>
      <c r="T50" s="7" t="str">
        <f t="shared" si="5"/>
        <v>Elect-Keyb-P010</v>
      </c>
    </row>
    <row r="51" spans="1:20">
      <c r="A51" s="12" t="s">
        <v>172</v>
      </c>
      <c r="B51" s="13">
        <v>45459</v>
      </c>
      <c r="C51" s="12" t="s">
        <v>21</v>
      </c>
      <c r="D51" s="12" t="s">
        <v>22</v>
      </c>
      <c r="E51" s="12" t="s">
        <v>67</v>
      </c>
      <c r="F51" s="12" t="s">
        <v>68</v>
      </c>
      <c r="G51" s="12" t="s">
        <v>25</v>
      </c>
      <c r="H51" s="12">
        <v>5</v>
      </c>
      <c r="I51" s="14">
        <v>899.99</v>
      </c>
      <c r="J51" s="12" t="s">
        <v>32</v>
      </c>
      <c r="K51" s="12" t="s">
        <v>41</v>
      </c>
      <c r="L51" s="12" t="s">
        <v>42</v>
      </c>
      <c r="M51" s="13">
        <v>44974</v>
      </c>
      <c r="N51" s="14">
        <v>4499.95</v>
      </c>
      <c r="O51" s="15">
        <f t="shared" ca="1" si="0"/>
        <v>46312</v>
      </c>
      <c r="P51" s="16">
        <f t="shared" ca="1" si="1"/>
        <v>46312.46113171296</v>
      </c>
      <c r="Q51" s="17">
        <f t="shared" ca="1" si="2"/>
        <v>3</v>
      </c>
      <c r="R51" s="7">
        <f t="shared" ca="1" si="3"/>
        <v>44</v>
      </c>
      <c r="S51" s="15">
        <f t="shared" si="4"/>
        <v>45473</v>
      </c>
      <c r="T51" s="7" t="str">
        <f t="shared" si="5"/>
        <v>Elect-Lapt-P001</v>
      </c>
    </row>
    <row r="52" spans="1:20">
      <c r="A52" s="12" t="s">
        <v>173</v>
      </c>
      <c r="B52" s="13">
        <v>45459</v>
      </c>
      <c r="C52" s="12" t="s">
        <v>129</v>
      </c>
      <c r="D52" s="12" t="s">
        <v>130</v>
      </c>
      <c r="E52" s="12" t="s">
        <v>67</v>
      </c>
      <c r="F52" s="12" t="s">
        <v>68</v>
      </c>
      <c r="G52" s="12" t="s">
        <v>25</v>
      </c>
      <c r="H52" s="12">
        <v>5</v>
      </c>
      <c r="I52" s="14">
        <v>899.99</v>
      </c>
      <c r="J52" s="12" t="s">
        <v>40</v>
      </c>
      <c r="K52" s="12" t="s">
        <v>69</v>
      </c>
      <c r="L52" s="12" t="s">
        <v>33</v>
      </c>
      <c r="M52" s="13">
        <v>45278</v>
      </c>
      <c r="N52" s="14">
        <v>4499.95</v>
      </c>
      <c r="O52" s="15">
        <f t="shared" ca="1" si="0"/>
        <v>46312</v>
      </c>
      <c r="P52" s="16">
        <f t="shared" ca="1" si="1"/>
        <v>46312.46113171296</v>
      </c>
      <c r="Q52" s="17">
        <f t="shared" ca="1" si="2"/>
        <v>2</v>
      </c>
      <c r="R52" s="7">
        <f t="shared" ca="1" si="3"/>
        <v>33</v>
      </c>
      <c r="S52" s="15">
        <f t="shared" si="4"/>
        <v>45473</v>
      </c>
      <c r="T52" s="7" t="str">
        <f t="shared" si="5"/>
        <v>Elect-Lapt-P001</v>
      </c>
    </row>
    <row r="53" spans="1:20">
      <c r="A53" s="12" t="s">
        <v>174</v>
      </c>
      <c r="B53" s="13">
        <v>45460</v>
      </c>
      <c r="C53" s="12" t="s">
        <v>164</v>
      </c>
      <c r="D53" s="12" t="s">
        <v>165</v>
      </c>
      <c r="E53" s="12" t="s">
        <v>37</v>
      </c>
      <c r="F53" s="12" t="s">
        <v>38</v>
      </c>
      <c r="G53" s="12" t="s">
        <v>39</v>
      </c>
      <c r="H53" s="12">
        <v>1</v>
      </c>
      <c r="I53" s="14">
        <v>59.99</v>
      </c>
      <c r="J53" s="12" t="s">
        <v>63</v>
      </c>
      <c r="K53" s="12" t="s">
        <v>56</v>
      </c>
      <c r="L53" s="12" t="s">
        <v>33</v>
      </c>
      <c r="M53" s="13">
        <v>45190</v>
      </c>
      <c r="N53" s="14">
        <v>59.99</v>
      </c>
      <c r="O53" s="15">
        <f t="shared" ca="1" si="0"/>
        <v>46312</v>
      </c>
      <c r="P53" s="16">
        <f t="shared" ca="1" si="1"/>
        <v>46312.46113171296</v>
      </c>
      <c r="Q53" s="17">
        <f t="shared" ca="1" si="2"/>
        <v>3</v>
      </c>
      <c r="R53" s="7">
        <f t="shared" ca="1" si="3"/>
        <v>36</v>
      </c>
      <c r="S53" s="15">
        <f t="shared" si="4"/>
        <v>45473</v>
      </c>
      <c r="T53" s="7" t="str">
        <f t="shared" si="5"/>
        <v>Appli-Blen-P005</v>
      </c>
    </row>
    <row r="54" spans="1:20">
      <c r="A54" s="12" t="s">
        <v>175</v>
      </c>
      <c r="B54" s="13">
        <v>45460</v>
      </c>
      <c r="C54" s="12" t="s">
        <v>147</v>
      </c>
      <c r="D54" s="12" t="s">
        <v>148</v>
      </c>
      <c r="E54" s="12" t="s">
        <v>111</v>
      </c>
      <c r="F54" s="12" t="s">
        <v>112</v>
      </c>
      <c r="G54" s="12" t="s">
        <v>52</v>
      </c>
      <c r="H54" s="12">
        <v>2</v>
      </c>
      <c r="I54" s="14">
        <v>299.99</v>
      </c>
      <c r="J54" s="12" t="s">
        <v>63</v>
      </c>
      <c r="K54" s="12" t="s">
        <v>69</v>
      </c>
      <c r="L54" s="12" t="s">
        <v>42</v>
      </c>
      <c r="M54" s="13">
        <v>45253</v>
      </c>
      <c r="N54" s="14">
        <v>599.98</v>
      </c>
      <c r="O54" s="15">
        <f t="shared" ca="1" si="0"/>
        <v>46312</v>
      </c>
      <c r="P54" s="16">
        <f t="shared" ca="1" si="1"/>
        <v>46312.46113171296</v>
      </c>
      <c r="Q54" s="17">
        <f t="shared" ca="1" si="2"/>
        <v>2</v>
      </c>
      <c r="R54" s="7">
        <f t="shared" ca="1" si="3"/>
        <v>34</v>
      </c>
      <c r="S54" s="15">
        <f t="shared" si="4"/>
        <v>45473</v>
      </c>
      <c r="T54" s="7" t="str">
        <f t="shared" si="5"/>
        <v>Furni-Desk-P007</v>
      </c>
    </row>
    <row r="55" spans="1:20">
      <c r="A55" s="12" t="s">
        <v>176</v>
      </c>
      <c r="B55" s="13">
        <v>45468</v>
      </c>
      <c r="C55" s="12" t="s">
        <v>177</v>
      </c>
      <c r="D55" s="12" t="s">
        <v>178</v>
      </c>
      <c r="E55" s="12" t="s">
        <v>123</v>
      </c>
      <c r="F55" s="12" t="s">
        <v>124</v>
      </c>
      <c r="G55" s="12" t="s">
        <v>25</v>
      </c>
      <c r="H55" s="12">
        <v>4</v>
      </c>
      <c r="I55" s="14">
        <v>89.99</v>
      </c>
      <c r="J55" s="12" t="s">
        <v>63</v>
      </c>
      <c r="K55" s="12" t="s">
        <v>41</v>
      </c>
      <c r="L55" s="12" t="s">
        <v>28</v>
      </c>
      <c r="M55" s="13">
        <v>45281</v>
      </c>
      <c r="N55" s="14">
        <v>359.96</v>
      </c>
      <c r="O55" s="15">
        <f t="shared" ca="1" si="0"/>
        <v>46312</v>
      </c>
      <c r="P55" s="16">
        <f t="shared" ca="1" si="1"/>
        <v>46312.46113171296</v>
      </c>
      <c r="Q55" s="17">
        <f t="shared" ca="1" si="2"/>
        <v>2</v>
      </c>
      <c r="R55" s="7">
        <f t="shared" ca="1" si="3"/>
        <v>33</v>
      </c>
      <c r="S55" s="15">
        <f t="shared" si="4"/>
        <v>45473</v>
      </c>
      <c r="T55" s="7" t="str">
        <f t="shared" si="5"/>
        <v>Elect-Keyb-P010</v>
      </c>
    </row>
    <row r="56" spans="1:20">
      <c r="A56" s="12" t="s">
        <v>179</v>
      </c>
      <c r="B56" s="13">
        <v>45469</v>
      </c>
      <c r="C56" s="12" t="s">
        <v>35</v>
      </c>
      <c r="D56" s="12" t="s">
        <v>36</v>
      </c>
      <c r="E56" s="12" t="s">
        <v>120</v>
      </c>
      <c r="F56" s="12" t="s">
        <v>121</v>
      </c>
      <c r="G56" s="12" t="s">
        <v>39</v>
      </c>
      <c r="H56" s="12">
        <v>1</v>
      </c>
      <c r="I56" s="14">
        <v>79.989999999999995</v>
      </c>
      <c r="J56" s="12" t="s">
        <v>40</v>
      </c>
      <c r="K56" s="12" t="s">
        <v>27</v>
      </c>
      <c r="L56" s="12" t="s">
        <v>33</v>
      </c>
      <c r="M56" s="13">
        <v>45352</v>
      </c>
      <c r="N56" s="14">
        <v>79.989999999999995</v>
      </c>
      <c r="O56" s="15">
        <f t="shared" ca="1" si="0"/>
        <v>46312</v>
      </c>
      <c r="P56" s="16">
        <f t="shared" ca="1" si="1"/>
        <v>46312.46113171296</v>
      </c>
      <c r="Q56" s="17">
        <f t="shared" ca="1" si="2"/>
        <v>2</v>
      </c>
      <c r="R56" s="7">
        <f t="shared" ca="1" si="3"/>
        <v>31</v>
      </c>
      <c r="S56" s="15">
        <f t="shared" si="4"/>
        <v>45473</v>
      </c>
      <c r="T56" s="7" t="str">
        <f t="shared" si="5"/>
        <v>Appli-Coff-P004</v>
      </c>
    </row>
    <row r="57" spans="1:20">
      <c r="A57" s="12" t="s">
        <v>180</v>
      </c>
      <c r="B57" s="13">
        <v>45469</v>
      </c>
      <c r="C57" s="12" t="s">
        <v>65</v>
      </c>
      <c r="D57" s="12" t="s">
        <v>66</v>
      </c>
      <c r="E57" s="12" t="s">
        <v>123</v>
      </c>
      <c r="F57" s="12" t="s">
        <v>124</v>
      </c>
      <c r="G57" s="12" t="s">
        <v>25</v>
      </c>
      <c r="H57" s="12">
        <v>2</v>
      </c>
      <c r="I57" s="14">
        <v>89.99</v>
      </c>
      <c r="J57" s="12" t="s">
        <v>26</v>
      </c>
      <c r="K57" s="12" t="s">
        <v>56</v>
      </c>
      <c r="L57" s="12" t="s">
        <v>28</v>
      </c>
      <c r="M57" s="13">
        <v>44438</v>
      </c>
      <c r="N57" s="14">
        <v>179.98</v>
      </c>
      <c r="O57" s="15">
        <f t="shared" ca="1" si="0"/>
        <v>46312</v>
      </c>
      <c r="P57" s="16">
        <f t="shared" ca="1" si="1"/>
        <v>46312.46113171296</v>
      </c>
      <c r="Q57" s="17">
        <f t="shared" ca="1" si="2"/>
        <v>5</v>
      </c>
      <c r="R57" s="7">
        <f t="shared" ca="1" si="3"/>
        <v>61</v>
      </c>
      <c r="S57" s="15">
        <f t="shared" si="4"/>
        <v>45473</v>
      </c>
      <c r="T57" s="7" t="str">
        <f t="shared" si="5"/>
        <v>Elect-Keyb-P010</v>
      </c>
    </row>
    <row r="58" spans="1:20">
      <c r="A58" s="12" t="s">
        <v>181</v>
      </c>
      <c r="B58" s="13">
        <v>45471</v>
      </c>
      <c r="C58" s="12" t="s">
        <v>44</v>
      </c>
      <c r="D58" s="12" t="s">
        <v>45</v>
      </c>
      <c r="E58" s="12" t="s">
        <v>86</v>
      </c>
      <c r="F58" s="12" t="s">
        <v>87</v>
      </c>
      <c r="G58" s="12" t="s">
        <v>25</v>
      </c>
      <c r="H58" s="12">
        <v>3</v>
      </c>
      <c r="I58" s="14">
        <v>699.99</v>
      </c>
      <c r="J58" s="12" t="s">
        <v>32</v>
      </c>
      <c r="K58" s="12" t="s">
        <v>69</v>
      </c>
      <c r="L58" s="12" t="s">
        <v>33</v>
      </c>
      <c r="M58" s="13">
        <v>45102</v>
      </c>
      <c r="N58" s="14">
        <v>2099.9699999999998</v>
      </c>
      <c r="O58" s="15">
        <f t="shared" ca="1" si="0"/>
        <v>46312</v>
      </c>
      <c r="P58" s="16">
        <f t="shared" ca="1" si="1"/>
        <v>46312.46113171296</v>
      </c>
      <c r="Q58" s="17">
        <f t="shared" ca="1" si="2"/>
        <v>3</v>
      </c>
      <c r="R58" s="7">
        <f t="shared" ca="1" si="3"/>
        <v>39</v>
      </c>
      <c r="S58" s="15">
        <f t="shared" si="4"/>
        <v>45473</v>
      </c>
      <c r="T58" s="7" t="str">
        <f t="shared" si="5"/>
        <v>Elect-Smar-P002</v>
      </c>
    </row>
    <row r="59" spans="1:20">
      <c r="A59" s="12" t="s">
        <v>182</v>
      </c>
      <c r="B59" s="13">
        <v>45471</v>
      </c>
      <c r="C59" s="12" t="s">
        <v>105</v>
      </c>
      <c r="D59" s="12" t="s">
        <v>106</v>
      </c>
      <c r="E59" s="12" t="s">
        <v>67</v>
      </c>
      <c r="F59" s="12" t="s">
        <v>68</v>
      </c>
      <c r="G59" s="12" t="s">
        <v>25</v>
      </c>
      <c r="H59" s="12">
        <v>4</v>
      </c>
      <c r="I59" s="14">
        <v>899.99</v>
      </c>
      <c r="J59" s="12" t="s">
        <v>32</v>
      </c>
      <c r="K59" s="12" t="s">
        <v>69</v>
      </c>
      <c r="L59" s="12" t="s">
        <v>33</v>
      </c>
      <c r="M59" s="13">
        <v>44993</v>
      </c>
      <c r="N59" s="14">
        <v>3599.96</v>
      </c>
      <c r="O59" s="15">
        <f t="shared" ca="1" si="0"/>
        <v>46312</v>
      </c>
      <c r="P59" s="16">
        <f t="shared" ca="1" si="1"/>
        <v>46312.46113171296</v>
      </c>
      <c r="Q59" s="17">
        <f t="shared" ca="1" si="2"/>
        <v>3</v>
      </c>
      <c r="R59" s="7">
        <f t="shared" ca="1" si="3"/>
        <v>43</v>
      </c>
      <c r="S59" s="15">
        <f t="shared" si="4"/>
        <v>45473</v>
      </c>
      <c r="T59" s="7" t="str">
        <f t="shared" si="5"/>
        <v>Elect-Lapt-P001</v>
      </c>
    </row>
    <row r="60" spans="1:20">
      <c r="A60" s="12" t="s">
        <v>183</v>
      </c>
      <c r="B60" s="13">
        <v>45472</v>
      </c>
      <c r="C60" s="12" t="s">
        <v>126</v>
      </c>
      <c r="D60" s="12" t="s">
        <v>127</v>
      </c>
      <c r="E60" s="12" t="s">
        <v>50</v>
      </c>
      <c r="F60" s="12" t="s">
        <v>51</v>
      </c>
      <c r="G60" s="12" t="s">
        <v>52</v>
      </c>
      <c r="H60" s="12">
        <v>1</v>
      </c>
      <c r="I60" s="14">
        <v>149.99</v>
      </c>
      <c r="J60" s="12" t="s">
        <v>40</v>
      </c>
      <c r="K60" s="12" t="s">
        <v>69</v>
      </c>
      <c r="L60" s="12" t="s">
        <v>28</v>
      </c>
      <c r="M60" s="13">
        <v>44851</v>
      </c>
      <c r="N60" s="14">
        <v>149.99</v>
      </c>
      <c r="O60" s="15">
        <f t="shared" ca="1" si="0"/>
        <v>46312</v>
      </c>
      <c r="P60" s="16">
        <f t="shared" ca="1" si="1"/>
        <v>46312.46113171296</v>
      </c>
      <c r="Q60" s="17">
        <f t="shared" ca="1" si="2"/>
        <v>4</v>
      </c>
      <c r="R60" s="7">
        <f t="shared" ca="1" si="3"/>
        <v>48</v>
      </c>
      <c r="S60" s="15">
        <f t="shared" si="4"/>
        <v>45473</v>
      </c>
      <c r="T60" s="7" t="str">
        <f t="shared" si="5"/>
        <v>Furni-Book-P008</v>
      </c>
    </row>
    <row r="61" spans="1:20">
      <c r="A61" s="12" t="s">
        <v>184</v>
      </c>
      <c r="B61" s="13">
        <v>45474</v>
      </c>
      <c r="C61" s="12" t="s">
        <v>138</v>
      </c>
      <c r="D61" s="12" t="s">
        <v>139</v>
      </c>
      <c r="E61" s="12" t="s">
        <v>123</v>
      </c>
      <c r="F61" s="12" t="s">
        <v>124</v>
      </c>
      <c r="G61" s="12" t="s">
        <v>25</v>
      </c>
      <c r="H61" s="12">
        <v>2</v>
      </c>
      <c r="I61" s="14">
        <v>89.99</v>
      </c>
      <c r="J61" s="12" t="s">
        <v>40</v>
      </c>
      <c r="K61" s="12" t="s">
        <v>27</v>
      </c>
      <c r="L61" s="12" t="s">
        <v>33</v>
      </c>
      <c r="M61" s="13">
        <v>45275</v>
      </c>
      <c r="N61" s="14">
        <v>179.98</v>
      </c>
      <c r="O61" s="15">
        <f t="shared" ca="1" si="0"/>
        <v>46312</v>
      </c>
      <c r="P61" s="16">
        <f t="shared" ca="1" si="1"/>
        <v>46312.46113171296</v>
      </c>
      <c r="Q61" s="17">
        <f t="shared" ca="1" si="2"/>
        <v>2</v>
      </c>
      <c r="R61" s="7">
        <f t="shared" ca="1" si="3"/>
        <v>34</v>
      </c>
      <c r="S61" s="15">
        <f t="shared" si="4"/>
        <v>45504</v>
      </c>
      <c r="T61" s="7" t="str">
        <f t="shared" si="5"/>
        <v>Elect-Keyb-P010</v>
      </c>
    </row>
    <row r="62" spans="1:20">
      <c r="A62" s="12" t="s">
        <v>185</v>
      </c>
      <c r="B62" s="13">
        <v>45475</v>
      </c>
      <c r="C62" s="12" t="s">
        <v>61</v>
      </c>
      <c r="D62" s="12" t="s">
        <v>62</v>
      </c>
      <c r="E62" s="12" t="s">
        <v>123</v>
      </c>
      <c r="F62" s="12" t="s">
        <v>124</v>
      </c>
      <c r="G62" s="12" t="s">
        <v>25</v>
      </c>
      <c r="H62" s="12">
        <v>1</v>
      </c>
      <c r="I62" s="14">
        <v>89.99</v>
      </c>
      <c r="J62" s="12" t="s">
        <v>40</v>
      </c>
      <c r="K62" s="12" t="s">
        <v>56</v>
      </c>
      <c r="L62" s="12" t="s">
        <v>42</v>
      </c>
      <c r="M62" s="13">
        <v>44802</v>
      </c>
      <c r="N62" s="14">
        <v>89.99</v>
      </c>
      <c r="O62" s="15">
        <f t="shared" ca="1" si="0"/>
        <v>46312</v>
      </c>
      <c r="P62" s="16">
        <f t="shared" ca="1" si="1"/>
        <v>46312.46113171296</v>
      </c>
      <c r="Q62" s="17">
        <f t="shared" ca="1" si="2"/>
        <v>4</v>
      </c>
      <c r="R62" s="7">
        <f t="shared" ca="1" si="3"/>
        <v>49</v>
      </c>
      <c r="S62" s="15">
        <f t="shared" si="4"/>
        <v>45504</v>
      </c>
      <c r="T62" s="7" t="str">
        <f t="shared" si="5"/>
        <v>Elect-Keyb-P010</v>
      </c>
    </row>
    <row r="63" spans="1:20">
      <c r="A63" s="12" t="s">
        <v>186</v>
      </c>
      <c r="B63" s="13">
        <v>45476</v>
      </c>
      <c r="C63" s="12" t="s">
        <v>74</v>
      </c>
      <c r="D63" s="12" t="s">
        <v>75</v>
      </c>
      <c r="E63" s="12" t="s">
        <v>123</v>
      </c>
      <c r="F63" s="12" t="s">
        <v>124</v>
      </c>
      <c r="G63" s="12" t="s">
        <v>25</v>
      </c>
      <c r="H63" s="12">
        <v>1</v>
      </c>
      <c r="I63" s="14">
        <v>89.99</v>
      </c>
      <c r="J63" s="12" t="s">
        <v>26</v>
      </c>
      <c r="K63" s="12" t="s">
        <v>41</v>
      </c>
      <c r="L63" s="12" t="s">
        <v>42</v>
      </c>
      <c r="M63" s="13">
        <v>44611</v>
      </c>
      <c r="N63" s="14">
        <v>89.99</v>
      </c>
      <c r="O63" s="15">
        <f t="shared" ca="1" si="0"/>
        <v>46312</v>
      </c>
      <c r="P63" s="16">
        <f t="shared" ca="1" si="1"/>
        <v>46312.46113171296</v>
      </c>
      <c r="Q63" s="17">
        <f t="shared" ca="1" si="2"/>
        <v>4</v>
      </c>
      <c r="R63" s="7">
        <f t="shared" ca="1" si="3"/>
        <v>55</v>
      </c>
      <c r="S63" s="15">
        <f t="shared" si="4"/>
        <v>45504</v>
      </c>
      <c r="T63" s="7" t="str">
        <f t="shared" si="5"/>
        <v>Elect-Keyb-P010</v>
      </c>
    </row>
    <row r="64" spans="1:20">
      <c r="A64" s="12" t="s">
        <v>187</v>
      </c>
      <c r="B64" s="13">
        <v>45476</v>
      </c>
      <c r="C64" s="12" t="s">
        <v>188</v>
      </c>
      <c r="D64" s="12" t="s">
        <v>189</v>
      </c>
      <c r="E64" s="12" t="s">
        <v>120</v>
      </c>
      <c r="F64" s="12" t="s">
        <v>121</v>
      </c>
      <c r="G64" s="12" t="s">
        <v>39</v>
      </c>
      <c r="H64" s="12">
        <v>5</v>
      </c>
      <c r="I64" s="14">
        <v>79.989999999999995</v>
      </c>
      <c r="J64" s="12" t="s">
        <v>63</v>
      </c>
      <c r="K64" s="12" t="s">
        <v>27</v>
      </c>
      <c r="L64" s="12" t="s">
        <v>28</v>
      </c>
      <c r="M64" s="13">
        <v>44981</v>
      </c>
      <c r="N64" s="14">
        <v>399.95</v>
      </c>
      <c r="O64" s="15">
        <f t="shared" ca="1" si="0"/>
        <v>46312</v>
      </c>
      <c r="P64" s="16">
        <f t="shared" ca="1" si="1"/>
        <v>46312.46113171296</v>
      </c>
      <c r="Q64" s="17">
        <f t="shared" ca="1" si="2"/>
        <v>3</v>
      </c>
      <c r="R64" s="7">
        <f t="shared" ca="1" si="3"/>
        <v>43</v>
      </c>
      <c r="S64" s="15">
        <f t="shared" si="4"/>
        <v>45504</v>
      </c>
      <c r="T64" s="7" t="str">
        <f t="shared" si="5"/>
        <v>Appli-Coff-P004</v>
      </c>
    </row>
    <row r="65" spans="1:20">
      <c r="A65" s="12" t="s">
        <v>190</v>
      </c>
      <c r="B65" s="13">
        <v>45481</v>
      </c>
      <c r="C65" s="12" t="s">
        <v>191</v>
      </c>
      <c r="D65" s="12" t="s">
        <v>192</v>
      </c>
      <c r="E65" s="12" t="s">
        <v>50</v>
      </c>
      <c r="F65" s="12" t="s">
        <v>51</v>
      </c>
      <c r="G65" s="12" t="s">
        <v>52</v>
      </c>
      <c r="H65" s="12">
        <v>1</v>
      </c>
      <c r="I65" s="14">
        <v>149.99</v>
      </c>
      <c r="J65" s="12" t="s">
        <v>40</v>
      </c>
      <c r="K65" s="12" t="s">
        <v>46</v>
      </c>
      <c r="L65" s="12" t="s">
        <v>28</v>
      </c>
      <c r="M65" s="13">
        <v>44421</v>
      </c>
      <c r="N65" s="14">
        <v>149.99</v>
      </c>
      <c r="O65" s="15">
        <f t="shared" ca="1" si="0"/>
        <v>46312</v>
      </c>
      <c r="P65" s="16">
        <f t="shared" ca="1" si="1"/>
        <v>46312.46113171296</v>
      </c>
      <c r="Q65" s="17">
        <f t="shared" ca="1" si="2"/>
        <v>5</v>
      </c>
      <c r="R65" s="7">
        <f t="shared" ca="1" si="3"/>
        <v>62</v>
      </c>
      <c r="S65" s="15">
        <f t="shared" si="4"/>
        <v>45504</v>
      </c>
      <c r="T65" s="7" t="str">
        <f t="shared" si="5"/>
        <v>Furni-Book-P008</v>
      </c>
    </row>
    <row r="66" spans="1:20">
      <c r="A66" s="12" t="s">
        <v>193</v>
      </c>
      <c r="B66" s="13">
        <v>45481</v>
      </c>
      <c r="C66" s="12" t="s">
        <v>48</v>
      </c>
      <c r="D66" s="12" t="s">
        <v>49</v>
      </c>
      <c r="E66" s="12" t="s">
        <v>86</v>
      </c>
      <c r="F66" s="12" t="s">
        <v>87</v>
      </c>
      <c r="G66" s="12" t="s">
        <v>25</v>
      </c>
      <c r="H66" s="12">
        <v>2</v>
      </c>
      <c r="I66" s="14">
        <v>699.99</v>
      </c>
      <c r="J66" s="12" t="s">
        <v>40</v>
      </c>
      <c r="K66" s="12" t="s">
        <v>69</v>
      </c>
      <c r="L66" s="12" t="s">
        <v>33</v>
      </c>
      <c r="M66" s="13">
        <v>45389</v>
      </c>
      <c r="N66" s="14">
        <v>1399.98</v>
      </c>
      <c r="O66" s="15">
        <f t="shared" ca="1" si="0"/>
        <v>46312</v>
      </c>
      <c r="P66" s="16">
        <f t="shared" ca="1" si="1"/>
        <v>46312.46113171296</v>
      </c>
      <c r="Q66" s="17">
        <f t="shared" ca="1" si="2"/>
        <v>2</v>
      </c>
      <c r="R66" s="7">
        <f t="shared" ca="1" si="3"/>
        <v>30</v>
      </c>
      <c r="S66" s="15">
        <f t="shared" si="4"/>
        <v>45504</v>
      </c>
      <c r="T66" s="7" t="str">
        <f t="shared" si="5"/>
        <v>Elect-Smar-P002</v>
      </c>
    </row>
    <row r="67" spans="1:20">
      <c r="A67" s="12" t="s">
        <v>194</v>
      </c>
      <c r="B67" s="13">
        <v>45481</v>
      </c>
      <c r="C67" s="12" t="s">
        <v>102</v>
      </c>
      <c r="D67" s="12" t="s">
        <v>103</v>
      </c>
      <c r="E67" s="12" t="s">
        <v>123</v>
      </c>
      <c r="F67" s="12" t="s">
        <v>124</v>
      </c>
      <c r="G67" s="12" t="s">
        <v>25</v>
      </c>
      <c r="H67" s="12">
        <v>5</v>
      </c>
      <c r="I67" s="14">
        <v>89.99</v>
      </c>
      <c r="J67" s="12" t="s">
        <v>63</v>
      </c>
      <c r="K67" s="12" t="s">
        <v>46</v>
      </c>
      <c r="L67" s="12" t="s">
        <v>33</v>
      </c>
      <c r="M67" s="13">
        <v>45161</v>
      </c>
      <c r="N67" s="14">
        <v>449.95</v>
      </c>
      <c r="O67" s="15">
        <f t="shared" ref="O67:O130" ca="1" si="6">TODAY()</f>
        <v>46312</v>
      </c>
      <c r="P67" s="16">
        <f t="shared" ref="P67:P130" ca="1" si="7">NOW()</f>
        <v>46312.46113171296</v>
      </c>
      <c r="Q67" s="17">
        <f t="shared" ref="Q67:Q130" ca="1" si="8">DATEDIF(M67,TODAY(),"Y")</f>
        <v>3</v>
      </c>
      <c r="R67" s="7">
        <f t="shared" ref="R67:R130" ca="1" si="9">DATEDIF(M67,TODAY(),"M")</f>
        <v>37</v>
      </c>
      <c r="S67" s="15">
        <f t="shared" ref="S67:S130" si="10">EOMONTH(B67,0)</f>
        <v>45504</v>
      </c>
      <c r="T67" s="7" t="str">
        <f t="shared" ref="T67:T130" si="11">CONCATENATE(LEFT(G67,5),"-",LEFT(F67,4),"-",E67)</f>
        <v>Elect-Keyb-P010</v>
      </c>
    </row>
    <row r="68" spans="1:20">
      <c r="A68" s="12" t="s">
        <v>195</v>
      </c>
      <c r="B68" s="13">
        <v>45482</v>
      </c>
      <c r="C68" s="12" t="s">
        <v>177</v>
      </c>
      <c r="D68" s="12" t="s">
        <v>178</v>
      </c>
      <c r="E68" s="12" t="s">
        <v>37</v>
      </c>
      <c r="F68" s="12" t="s">
        <v>38</v>
      </c>
      <c r="G68" s="12" t="s">
        <v>39</v>
      </c>
      <c r="H68" s="12">
        <v>4</v>
      </c>
      <c r="I68" s="14">
        <v>59.99</v>
      </c>
      <c r="J68" s="12" t="s">
        <v>26</v>
      </c>
      <c r="K68" s="12" t="s">
        <v>41</v>
      </c>
      <c r="L68" s="12" t="s">
        <v>42</v>
      </c>
      <c r="M68" s="13">
        <v>44509</v>
      </c>
      <c r="N68" s="14">
        <v>239.96</v>
      </c>
      <c r="O68" s="15">
        <f t="shared" ca="1" si="6"/>
        <v>46312</v>
      </c>
      <c r="P68" s="16">
        <f t="shared" ca="1" si="7"/>
        <v>46312.46113171296</v>
      </c>
      <c r="Q68" s="17">
        <f t="shared" ca="1" si="8"/>
        <v>4</v>
      </c>
      <c r="R68" s="7">
        <f t="shared" ca="1" si="9"/>
        <v>59</v>
      </c>
      <c r="S68" s="15">
        <f t="shared" si="10"/>
        <v>45504</v>
      </c>
      <c r="T68" s="7" t="str">
        <f t="shared" si="11"/>
        <v>Appli-Blen-P005</v>
      </c>
    </row>
    <row r="69" spans="1:20">
      <c r="A69" s="12" t="s">
        <v>196</v>
      </c>
      <c r="B69" s="13">
        <v>45484</v>
      </c>
      <c r="C69" s="12" t="s">
        <v>30</v>
      </c>
      <c r="D69" s="12" t="s">
        <v>31</v>
      </c>
      <c r="E69" s="12" t="s">
        <v>58</v>
      </c>
      <c r="F69" s="12" t="s">
        <v>59</v>
      </c>
      <c r="G69" s="12" t="s">
        <v>25</v>
      </c>
      <c r="H69" s="12">
        <v>1</v>
      </c>
      <c r="I69" s="14">
        <v>149.99</v>
      </c>
      <c r="J69" s="12" t="s">
        <v>26</v>
      </c>
      <c r="K69" s="12" t="s">
        <v>27</v>
      </c>
      <c r="L69" s="12" t="s">
        <v>42</v>
      </c>
      <c r="M69" s="13">
        <v>44909</v>
      </c>
      <c r="N69" s="14">
        <v>149.99</v>
      </c>
      <c r="O69" s="15">
        <f t="shared" ca="1" si="6"/>
        <v>46312</v>
      </c>
      <c r="P69" s="16">
        <f t="shared" ca="1" si="7"/>
        <v>46312.46113171296</v>
      </c>
      <c r="Q69" s="17">
        <f t="shared" ca="1" si="8"/>
        <v>3</v>
      </c>
      <c r="R69" s="7">
        <f t="shared" ca="1" si="9"/>
        <v>46</v>
      </c>
      <c r="S69" s="15">
        <f t="shared" si="10"/>
        <v>45504</v>
      </c>
      <c r="T69" s="7" t="str">
        <f t="shared" si="11"/>
        <v>Elect-Head-P003</v>
      </c>
    </row>
    <row r="70" spans="1:20">
      <c r="A70" s="12" t="s">
        <v>197</v>
      </c>
      <c r="B70" s="13">
        <v>45484</v>
      </c>
      <c r="C70" s="12" t="s">
        <v>198</v>
      </c>
      <c r="D70" s="12" t="s">
        <v>199</v>
      </c>
      <c r="E70" s="12" t="s">
        <v>111</v>
      </c>
      <c r="F70" s="12" t="s">
        <v>112</v>
      </c>
      <c r="G70" s="12" t="s">
        <v>52</v>
      </c>
      <c r="H70" s="12">
        <v>1</v>
      </c>
      <c r="I70" s="14">
        <v>299.99</v>
      </c>
      <c r="J70" s="12" t="s">
        <v>32</v>
      </c>
      <c r="K70" s="12" t="s">
        <v>46</v>
      </c>
      <c r="L70" s="12" t="s">
        <v>33</v>
      </c>
      <c r="M70" s="13">
        <v>44891</v>
      </c>
      <c r="N70" s="14">
        <v>299.99</v>
      </c>
      <c r="O70" s="15">
        <f t="shared" ca="1" si="6"/>
        <v>46312</v>
      </c>
      <c r="P70" s="16">
        <f t="shared" ca="1" si="7"/>
        <v>46312.46113171296</v>
      </c>
      <c r="Q70" s="17">
        <f t="shared" ca="1" si="8"/>
        <v>3</v>
      </c>
      <c r="R70" s="7">
        <f t="shared" ca="1" si="9"/>
        <v>46</v>
      </c>
      <c r="S70" s="15">
        <f t="shared" si="10"/>
        <v>45504</v>
      </c>
      <c r="T70" s="7" t="str">
        <f t="shared" si="11"/>
        <v>Furni-Desk-P007</v>
      </c>
    </row>
    <row r="71" spans="1:20">
      <c r="A71" s="12" t="s">
        <v>200</v>
      </c>
      <c r="B71" s="13">
        <v>45487</v>
      </c>
      <c r="C71" s="12" t="s">
        <v>198</v>
      </c>
      <c r="D71" s="12" t="s">
        <v>199</v>
      </c>
      <c r="E71" s="12" t="s">
        <v>132</v>
      </c>
      <c r="F71" s="12" t="s">
        <v>133</v>
      </c>
      <c r="G71" s="12" t="s">
        <v>52</v>
      </c>
      <c r="H71" s="12">
        <v>2</v>
      </c>
      <c r="I71" s="14">
        <v>199.99</v>
      </c>
      <c r="J71" s="12" t="s">
        <v>26</v>
      </c>
      <c r="K71" s="12" t="s">
        <v>46</v>
      </c>
      <c r="L71" s="12" t="s">
        <v>28</v>
      </c>
      <c r="M71" s="13">
        <v>44541</v>
      </c>
      <c r="N71" s="14">
        <v>399.98</v>
      </c>
      <c r="O71" s="15">
        <f t="shared" ca="1" si="6"/>
        <v>46312</v>
      </c>
      <c r="P71" s="16">
        <f t="shared" ca="1" si="7"/>
        <v>46312.46113171296</v>
      </c>
      <c r="Q71" s="17">
        <f t="shared" ca="1" si="8"/>
        <v>4</v>
      </c>
      <c r="R71" s="7">
        <f t="shared" ca="1" si="9"/>
        <v>58</v>
      </c>
      <c r="S71" s="15">
        <f t="shared" si="10"/>
        <v>45504</v>
      </c>
      <c r="T71" s="7" t="str">
        <f t="shared" si="11"/>
        <v>Furni-Offi-P006</v>
      </c>
    </row>
    <row r="72" spans="1:20">
      <c r="A72" s="12" t="s">
        <v>201</v>
      </c>
      <c r="B72" s="13">
        <v>45490</v>
      </c>
      <c r="C72" s="12" t="s">
        <v>202</v>
      </c>
      <c r="D72" s="12" t="s">
        <v>203</v>
      </c>
      <c r="E72" s="12" t="s">
        <v>37</v>
      </c>
      <c r="F72" s="12" t="s">
        <v>38</v>
      </c>
      <c r="G72" s="12" t="s">
        <v>39</v>
      </c>
      <c r="H72" s="12">
        <v>3</v>
      </c>
      <c r="I72" s="14">
        <v>59.99</v>
      </c>
      <c r="J72" s="12" t="s">
        <v>32</v>
      </c>
      <c r="K72" s="12" t="s">
        <v>56</v>
      </c>
      <c r="L72" s="12" t="s">
        <v>28</v>
      </c>
      <c r="M72" s="13">
        <v>45130</v>
      </c>
      <c r="N72" s="14">
        <v>179.97</v>
      </c>
      <c r="O72" s="15">
        <f t="shared" ca="1" si="6"/>
        <v>46312</v>
      </c>
      <c r="P72" s="16">
        <f t="shared" ca="1" si="7"/>
        <v>46312.46113171296</v>
      </c>
      <c r="Q72" s="17">
        <f t="shared" ca="1" si="8"/>
        <v>3</v>
      </c>
      <c r="R72" s="7">
        <f t="shared" ca="1" si="9"/>
        <v>38</v>
      </c>
      <c r="S72" s="15">
        <f t="shared" si="10"/>
        <v>45504</v>
      </c>
      <c r="T72" s="7" t="str">
        <f t="shared" si="11"/>
        <v>Appli-Blen-P005</v>
      </c>
    </row>
    <row r="73" spans="1:20">
      <c r="A73" s="12" t="s">
        <v>204</v>
      </c>
      <c r="B73" s="13">
        <v>45490</v>
      </c>
      <c r="C73" s="12" t="s">
        <v>78</v>
      </c>
      <c r="D73" s="12" t="s">
        <v>79</v>
      </c>
      <c r="E73" s="12" t="s">
        <v>50</v>
      </c>
      <c r="F73" s="12" t="s">
        <v>51</v>
      </c>
      <c r="G73" s="12" t="s">
        <v>52</v>
      </c>
      <c r="H73" s="12">
        <v>3</v>
      </c>
      <c r="I73" s="14">
        <v>149.99</v>
      </c>
      <c r="J73" s="12" t="s">
        <v>26</v>
      </c>
      <c r="K73" s="12" t="s">
        <v>27</v>
      </c>
      <c r="L73" s="12" t="s">
        <v>33</v>
      </c>
      <c r="M73" s="13">
        <v>45199</v>
      </c>
      <c r="N73" s="14">
        <v>449.97</v>
      </c>
      <c r="O73" s="15">
        <f t="shared" ca="1" si="6"/>
        <v>46312</v>
      </c>
      <c r="P73" s="16">
        <f t="shared" ca="1" si="7"/>
        <v>46312.46113171296</v>
      </c>
      <c r="Q73" s="17">
        <f t="shared" ca="1" si="8"/>
        <v>3</v>
      </c>
      <c r="R73" s="7">
        <f t="shared" ca="1" si="9"/>
        <v>36</v>
      </c>
      <c r="S73" s="15">
        <f t="shared" si="10"/>
        <v>45504</v>
      </c>
      <c r="T73" s="7" t="str">
        <f t="shared" si="11"/>
        <v>Furni-Book-P008</v>
      </c>
    </row>
    <row r="74" spans="1:20">
      <c r="A74" s="12" t="s">
        <v>205</v>
      </c>
      <c r="B74" s="13">
        <v>45491</v>
      </c>
      <c r="C74" s="12" t="s">
        <v>71</v>
      </c>
      <c r="D74" s="12" t="s">
        <v>72</v>
      </c>
      <c r="E74" s="12" t="s">
        <v>132</v>
      </c>
      <c r="F74" s="12" t="s">
        <v>133</v>
      </c>
      <c r="G74" s="12" t="s">
        <v>52</v>
      </c>
      <c r="H74" s="12">
        <v>3</v>
      </c>
      <c r="I74" s="14">
        <v>199.99</v>
      </c>
      <c r="J74" s="12" t="s">
        <v>26</v>
      </c>
      <c r="K74" s="12" t="s">
        <v>46</v>
      </c>
      <c r="L74" s="12" t="s">
        <v>33</v>
      </c>
      <c r="M74" s="13">
        <v>45254</v>
      </c>
      <c r="N74" s="14">
        <v>599.97</v>
      </c>
      <c r="O74" s="15">
        <f t="shared" ca="1" si="6"/>
        <v>46312</v>
      </c>
      <c r="P74" s="16">
        <f t="shared" ca="1" si="7"/>
        <v>46312.46113171296</v>
      </c>
      <c r="Q74" s="17">
        <f t="shared" ca="1" si="8"/>
        <v>2</v>
      </c>
      <c r="R74" s="7">
        <f t="shared" ca="1" si="9"/>
        <v>34</v>
      </c>
      <c r="S74" s="15">
        <f t="shared" si="10"/>
        <v>45504</v>
      </c>
      <c r="T74" s="7" t="str">
        <f t="shared" si="11"/>
        <v>Furni-Offi-P006</v>
      </c>
    </row>
    <row r="75" spans="1:20">
      <c r="A75" s="12" t="s">
        <v>206</v>
      </c>
      <c r="B75" s="13">
        <v>45496</v>
      </c>
      <c r="C75" s="12" t="s">
        <v>156</v>
      </c>
      <c r="D75" s="12" t="s">
        <v>157</v>
      </c>
      <c r="E75" s="12" t="s">
        <v>67</v>
      </c>
      <c r="F75" s="12" t="s">
        <v>68</v>
      </c>
      <c r="G75" s="12" t="s">
        <v>25</v>
      </c>
      <c r="H75" s="12">
        <v>1</v>
      </c>
      <c r="I75" s="14">
        <v>899.99</v>
      </c>
      <c r="J75" s="12" t="s">
        <v>26</v>
      </c>
      <c r="K75" s="12" t="s">
        <v>27</v>
      </c>
      <c r="L75" s="12" t="s">
        <v>42</v>
      </c>
      <c r="M75" s="13">
        <v>45179</v>
      </c>
      <c r="N75" s="14">
        <v>899.99</v>
      </c>
      <c r="O75" s="15">
        <f t="shared" ca="1" si="6"/>
        <v>46312</v>
      </c>
      <c r="P75" s="16">
        <f t="shared" ca="1" si="7"/>
        <v>46312.46113171296</v>
      </c>
      <c r="Q75" s="17">
        <f t="shared" ca="1" si="8"/>
        <v>3</v>
      </c>
      <c r="R75" s="7">
        <f t="shared" ca="1" si="9"/>
        <v>37</v>
      </c>
      <c r="S75" s="15">
        <f t="shared" si="10"/>
        <v>45504</v>
      </c>
      <c r="T75" s="7" t="str">
        <f t="shared" si="11"/>
        <v>Elect-Lapt-P001</v>
      </c>
    </row>
    <row r="76" spans="1:20">
      <c r="A76" s="12" t="s">
        <v>207</v>
      </c>
      <c r="B76" s="13">
        <v>45497</v>
      </c>
      <c r="C76" s="12" t="s">
        <v>30</v>
      </c>
      <c r="D76" s="12" t="s">
        <v>31</v>
      </c>
      <c r="E76" s="12" t="s">
        <v>67</v>
      </c>
      <c r="F76" s="12" t="s">
        <v>68</v>
      </c>
      <c r="G76" s="12" t="s">
        <v>25</v>
      </c>
      <c r="H76" s="12">
        <v>5</v>
      </c>
      <c r="I76" s="14">
        <v>899.99</v>
      </c>
      <c r="J76" s="12" t="s">
        <v>63</v>
      </c>
      <c r="K76" s="12" t="s">
        <v>41</v>
      </c>
      <c r="L76" s="12" t="s">
        <v>42</v>
      </c>
      <c r="M76" s="13">
        <v>44899</v>
      </c>
      <c r="N76" s="14">
        <v>4499.95</v>
      </c>
      <c r="O76" s="15">
        <f t="shared" ca="1" si="6"/>
        <v>46312</v>
      </c>
      <c r="P76" s="16">
        <f t="shared" ca="1" si="7"/>
        <v>46312.46113171296</v>
      </c>
      <c r="Q76" s="17">
        <f t="shared" ca="1" si="8"/>
        <v>3</v>
      </c>
      <c r="R76" s="7">
        <f t="shared" ca="1" si="9"/>
        <v>46</v>
      </c>
      <c r="S76" s="15">
        <f t="shared" si="10"/>
        <v>45504</v>
      </c>
      <c r="T76" s="7" t="str">
        <f t="shared" si="11"/>
        <v>Elect-Lapt-P001</v>
      </c>
    </row>
    <row r="77" spans="1:20">
      <c r="A77" s="12" t="s">
        <v>208</v>
      </c>
      <c r="B77" s="13">
        <v>45498</v>
      </c>
      <c r="C77" s="12" t="s">
        <v>188</v>
      </c>
      <c r="D77" s="12" t="s">
        <v>189</v>
      </c>
      <c r="E77" s="12" t="s">
        <v>37</v>
      </c>
      <c r="F77" s="12" t="s">
        <v>38</v>
      </c>
      <c r="G77" s="12" t="s">
        <v>39</v>
      </c>
      <c r="H77" s="12">
        <v>2</v>
      </c>
      <c r="I77" s="14">
        <v>59.99</v>
      </c>
      <c r="J77" s="12" t="s">
        <v>26</v>
      </c>
      <c r="K77" s="12" t="s">
        <v>46</v>
      </c>
      <c r="L77" s="12" t="s">
        <v>42</v>
      </c>
      <c r="M77" s="13">
        <v>45152</v>
      </c>
      <c r="N77" s="14">
        <v>119.98</v>
      </c>
      <c r="O77" s="15">
        <f t="shared" ca="1" si="6"/>
        <v>46312</v>
      </c>
      <c r="P77" s="16">
        <f t="shared" ca="1" si="7"/>
        <v>46312.46113171296</v>
      </c>
      <c r="Q77" s="17">
        <f t="shared" ca="1" si="8"/>
        <v>3</v>
      </c>
      <c r="R77" s="7">
        <f t="shared" ca="1" si="9"/>
        <v>38</v>
      </c>
      <c r="S77" s="15">
        <f t="shared" si="10"/>
        <v>45504</v>
      </c>
      <c r="T77" s="7" t="str">
        <f t="shared" si="11"/>
        <v>Appli-Blen-P005</v>
      </c>
    </row>
    <row r="78" spans="1:20">
      <c r="A78" s="12" t="s">
        <v>209</v>
      </c>
      <c r="B78" s="13">
        <v>45498</v>
      </c>
      <c r="C78" s="12" t="s">
        <v>202</v>
      </c>
      <c r="D78" s="12" t="s">
        <v>203</v>
      </c>
      <c r="E78" s="12" t="s">
        <v>23</v>
      </c>
      <c r="F78" s="12" t="s">
        <v>24</v>
      </c>
      <c r="G78" s="12" t="s">
        <v>25</v>
      </c>
      <c r="H78" s="12">
        <v>4</v>
      </c>
      <c r="I78" s="14">
        <v>249.99</v>
      </c>
      <c r="J78" s="12" t="s">
        <v>63</v>
      </c>
      <c r="K78" s="12" t="s">
        <v>27</v>
      </c>
      <c r="L78" s="12" t="s">
        <v>42</v>
      </c>
      <c r="M78" s="13">
        <v>45127</v>
      </c>
      <c r="N78" s="14">
        <v>999.96</v>
      </c>
      <c r="O78" s="15">
        <f t="shared" ca="1" si="6"/>
        <v>46312</v>
      </c>
      <c r="P78" s="16">
        <f t="shared" ca="1" si="7"/>
        <v>46312.46113171296</v>
      </c>
      <c r="Q78" s="17">
        <f t="shared" ca="1" si="8"/>
        <v>3</v>
      </c>
      <c r="R78" s="7">
        <f t="shared" ca="1" si="9"/>
        <v>38</v>
      </c>
      <c r="S78" s="15">
        <f t="shared" si="10"/>
        <v>45504</v>
      </c>
      <c r="T78" s="7" t="str">
        <f t="shared" si="11"/>
        <v>Elect-Moni-P009</v>
      </c>
    </row>
    <row r="79" spans="1:20">
      <c r="A79" s="12" t="s">
        <v>210</v>
      </c>
      <c r="B79" s="13">
        <v>45500</v>
      </c>
      <c r="C79" s="12" t="s">
        <v>102</v>
      </c>
      <c r="D79" s="12" t="s">
        <v>103</v>
      </c>
      <c r="E79" s="12" t="s">
        <v>23</v>
      </c>
      <c r="F79" s="12" t="s">
        <v>24</v>
      </c>
      <c r="G79" s="12" t="s">
        <v>25</v>
      </c>
      <c r="H79" s="12">
        <v>2</v>
      </c>
      <c r="I79" s="14">
        <v>249.99</v>
      </c>
      <c r="J79" s="12" t="s">
        <v>26</v>
      </c>
      <c r="K79" s="12" t="s">
        <v>46</v>
      </c>
      <c r="L79" s="12" t="s">
        <v>33</v>
      </c>
      <c r="M79" s="13">
        <v>45164</v>
      </c>
      <c r="N79" s="14">
        <v>499.98</v>
      </c>
      <c r="O79" s="15">
        <f t="shared" ca="1" si="6"/>
        <v>46312</v>
      </c>
      <c r="P79" s="16">
        <f t="shared" ca="1" si="7"/>
        <v>46312.46113171296</v>
      </c>
      <c r="Q79" s="17">
        <f t="shared" ca="1" si="8"/>
        <v>3</v>
      </c>
      <c r="R79" s="7">
        <f t="shared" ca="1" si="9"/>
        <v>37</v>
      </c>
      <c r="S79" s="15">
        <f t="shared" si="10"/>
        <v>45504</v>
      </c>
      <c r="T79" s="7" t="str">
        <f t="shared" si="11"/>
        <v>Elect-Moni-P009</v>
      </c>
    </row>
    <row r="80" spans="1:20">
      <c r="A80" s="12" t="s">
        <v>211</v>
      </c>
      <c r="B80" s="13">
        <v>45500</v>
      </c>
      <c r="C80" s="12" t="s">
        <v>153</v>
      </c>
      <c r="D80" s="12" t="s">
        <v>154</v>
      </c>
      <c r="E80" s="12" t="s">
        <v>111</v>
      </c>
      <c r="F80" s="12" t="s">
        <v>112</v>
      </c>
      <c r="G80" s="12" t="s">
        <v>52</v>
      </c>
      <c r="H80" s="12">
        <v>1</v>
      </c>
      <c r="I80" s="14">
        <v>299.99</v>
      </c>
      <c r="J80" s="12" t="s">
        <v>26</v>
      </c>
      <c r="K80" s="12" t="s">
        <v>41</v>
      </c>
      <c r="L80" s="12" t="s">
        <v>28</v>
      </c>
      <c r="M80" s="13">
        <v>44982</v>
      </c>
      <c r="N80" s="14">
        <v>299.99</v>
      </c>
      <c r="O80" s="15">
        <f t="shared" ca="1" si="6"/>
        <v>46312</v>
      </c>
      <c r="P80" s="16">
        <f t="shared" ca="1" si="7"/>
        <v>46312.46113171296</v>
      </c>
      <c r="Q80" s="17">
        <f t="shared" ca="1" si="8"/>
        <v>3</v>
      </c>
      <c r="R80" s="7">
        <f t="shared" ca="1" si="9"/>
        <v>43</v>
      </c>
      <c r="S80" s="15">
        <f t="shared" si="10"/>
        <v>45504</v>
      </c>
      <c r="T80" s="7" t="str">
        <f t="shared" si="11"/>
        <v>Furni-Desk-P007</v>
      </c>
    </row>
    <row r="81" spans="1:20">
      <c r="A81" s="12" t="s">
        <v>212</v>
      </c>
      <c r="B81" s="13">
        <v>45501</v>
      </c>
      <c r="C81" s="12" t="s">
        <v>92</v>
      </c>
      <c r="D81" s="12" t="s">
        <v>93</v>
      </c>
      <c r="E81" s="12" t="s">
        <v>123</v>
      </c>
      <c r="F81" s="12" t="s">
        <v>124</v>
      </c>
      <c r="G81" s="12" t="s">
        <v>25</v>
      </c>
      <c r="H81" s="12">
        <v>2</v>
      </c>
      <c r="I81" s="14">
        <v>89.99</v>
      </c>
      <c r="J81" s="12" t="s">
        <v>40</v>
      </c>
      <c r="K81" s="12" t="s">
        <v>41</v>
      </c>
      <c r="L81" s="12" t="s">
        <v>28</v>
      </c>
      <c r="M81" s="13">
        <v>44976</v>
      </c>
      <c r="N81" s="14">
        <v>179.98</v>
      </c>
      <c r="O81" s="15">
        <f t="shared" ca="1" si="6"/>
        <v>46312</v>
      </c>
      <c r="P81" s="16">
        <f t="shared" ca="1" si="7"/>
        <v>46312.46113171296</v>
      </c>
      <c r="Q81" s="17">
        <f t="shared" ca="1" si="8"/>
        <v>3</v>
      </c>
      <c r="R81" s="7">
        <f t="shared" ca="1" si="9"/>
        <v>43</v>
      </c>
      <c r="S81" s="15">
        <f t="shared" si="10"/>
        <v>45504</v>
      </c>
      <c r="T81" s="7" t="str">
        <f t="shared" si="11"/>
        <v>Elect-Keyb-P010</v>
      </c>
    </row>
    <row r="82" spans="1:20">
      <c r="A82" s="12" t="s">
        <v>213</v>
      </c>
      <c r="B82" s="13">
        <v>45501</v>
      </c>
      <c r="C82" s="12" t="s">
        <v>153</v>
      </c>
      <c r="D82" s="12" t="s">
        <v>154</v>
      </c>
      <c r="E82" s="12" t="s">
        <v>111</v>
      </c>
      <c r="F82" s="12" t="s">
        <v>112</v>
      </c>
      <c r="G82" s="12" t="s">
        <v>52</v>
      </c>
      <c r="H82" s="12">
        <v>3</v>
      </c>
      <c r="I82" s="14">
        <v>299.99</v>
      </c>
      <c r="J82" s="12" t="s">
        <v>26</v>
      </c>
      <c r="K82" s="12" t="s">
        <v>27</v>
      </c>
      <c r="L82" s="12" t="s">
        <v>28</v>
      </c>
      <c r="M82" s="13">
        <v>44732</v>
      </c>
      <c r="N82" s="14">
        <v>899.97</v>
      </c>
      <c r="O82" s="15">
        <f t="shared" ca="1" si="6"/>
        <v>46312</v>
      </c>
      <c r="P82" s="16">
        <f t="shared" ca="1" si="7"/>
        <v>46312.46113171296</v>
      </c>
      <c r="Q82" s="17">
        <f t="shared" ca="1" si="8"/>
        <v>4</v>
      </c>
      <c r="R82" s="7">
        <f t="shared" ca="1" si="9"/>
        <v>51</v>
      </c>
      <c r="S82" s="15">
        <f t="shared" si="10"/>
        <v>45504</v>
      </c>
      <c r="T82" s="7" t="str">
        <f t="shared" si="11"/>
        <v>Furni-Desk-P007</v>
      </c>
    </row>
    <row r="83" spans="1:20">
      <c r="A83" s="12" t="s">
        <v>214</v>
      </c>
      <c r="B83" s="13">
        <v>45503</v>
      </c>
      <c r="C83" s="12" t="s">
        <v>92</v>
      </c>
      <c r="D83" s="12" t="s">
        <v>93</v>
      </c>
      <c r="E83" s="12" t="s">
        <v>86</v>
      </c>
      <c r="F83" s="12" t="s">
        <v>87</v>
      </c>
      <c r="G83" s="12" t="s">
        <v>25</v>
      </c>
      <c r="H83" s="12">
        <v>2</v>
      </c>
      <c r="I83" s="14">
        <v>699.99</v>
      </c>
      <c r="J83" s="12" t="s">
        <v>32</v>
      </c>
      <c r="K83" s="12" t="s">
        <v>46</v>
      </c>
      <c r="L83" s="12" t="s">
        <v>33</v>
      </c>
      <c r="M83" s="13">
        <v>44999</v>
      </c>
      <c r="N83" s="14">
        <v>1399.98</v>
      </c>
      <c r="O83" s="15">
        <f t="shared" ca="1" si="6"/>
        <v>46312</v>
      </c>
      <c r="P83" s="16">
        <f t="shared" ca="1" si="7"/>
        <v>46312.46113171296</v>
      </c>
      <c r="Q83" s="17">
        <f t="shared" ca="1" si="8"/>
        <v>3</v>
      </c>
      <c r="R83" s="7">
        <f t="shared" ca="1" si="9"/>
        <v>43</v>
      </c>
      <c r="S83" s="15">
        <f t="shared" si="10"/>
        <v>45504</v>
      </c>
      <c r="T83" s="7" t="str">
        <f t="shared" si="11"/>
        <v>Elect-Smar-P002</v>
      </c>
    </row>
    <row r="84" spans="1:20">
      <c r="A84" s="12" t="s">
        <v>215</v>
      </c>
      <c r="B84" s="13">
        <v>45504</v>
      </c>
      <c r="C84" s="12" t="s">
        <v>126</v>
      </c>
      <c r="D84" s="12" t="s">
        <v>127</v>
      </c>
      <c r="E84" s="12" t="s">
        <v>67</v>
      </c>
      <c r="F84" s="12" t="s">
        <v>68</v>
      </c>
      <c r="G84" s="12" t="s">
        <v>25</v>
      </c>
      <c r="H84" s="12">
        <v>4</v>
      </c>
      <c r="I84" s="14">
        <v>899.99</v>
      </c>
      <c r="J84" s="12" t="s">
        <v>63</v>
      </c>
      <c r="K84" s="12" t="s">
        <v>41</v>
      </c>
      <c r="L84" s="12" t="s">
        <v>42</v>
      </c>
      <c r="M84" s="13">
        <v>44523</v>
      </c>
      <c r="N84" s="14">
        <v>3599.96</v>
      </c>
      <c r="O84" s="15">
        <f t="shared" ca="1" si="6"/>
        <v>46312</v>
      </c>
      <c r="P84" s="16">
        <f t="shared" ca="1" si="7"/>
        <v>46312.46113171296</v>
      </c>
      <c r="Q84" s="17">
        <f t="shared" ca="1" si="8"/>
        <v>4</v>
      </c>
      <c r="R84" s="7">
        <f t="shared" ca="1" si="9"/>
        <v>58</v>
      </c>
      <c r="S84" s="15">
        <f t="shared" si="10"/>
        <v>45504</v>
      </c>
      <c r="T84" s="7" t="str">
        <f t="shared" si="11"/>
        <v>Elect-Lapt-P001</v>
      </c>
    </row>
    <row r="85" spans="1:20">
      <c r="A85" s="12" t="s">
        <v>216</v>
      </c>
      <c r="B85" s="13">
        <v>45509</v>
      </c>
      <c r="C85" s="12" t="s">
        <v>217</v>
      </c>
      <c r="D85" s="12" t="s">
        <v>218</v>
      </c>
      <c r="E85" s="12" t="s">
        <v>50</v>
      </c>
      <c r="F85" s="12" t="s">
        <v>51</v>
      </c>
      <c r="G85" s="12" t="s">
        <v>52</v>
      </c>
      <c r="H85" s="12">
        <v>2</v>
      </c>
      <c r="I85" s="14">
        <v>149.99</v>
      </c>
      <c r="J85" s="12" t="s">
        <v>32</v>
      </c>
      <c r="K85" s="12" t="s">
        <v>56</v>
      </c>
      <c r="L85" s="12" t="s">
        <v>28</v>
      </c>
      <c r="M85" s="13">
        <v>44542</v>
      </c>
      <c r="N85" s="14">
        <v>299.98</v>
      </c>
      <c r="O85" s="15">
        <f t="shared" ca="1" si="6"/>
        <v>46312</v>
      </c>
      <c r="P85" s="16">
        <f t="shared" ca="1" si="7"/>
        <v>46312.46113171296</v>
      </c>
      <c r="Q85" s="17">
        <f t="shared" ca="1" si="8"/>
        <v>4</v>
      </c>
      <c r="R85" s="7">
        <f t="shared" ca="1" si="9"/>
        <v>58</v>
      </c>
      <c r="S85" s="15">
        <f t="shared" si="10"/>
        <v>45535</v>
      </c>
      <c r="T85" s="7" t="str">
        <f t="shared" si="11"/>
        <v>Furni-Book-P008</v>
      </c>
    </row>
    <row r="86" spans="1:20">
      <c r="A86" s="12" t="s">
        <v>219</v>
      </c>
      <c r="B86" s="13">
        <v>45510</v>
      </c>
      <c r="C86" s="12" t="s">
        <v>108</v>
      </c>
      <c r="D86" s="12" t="s">
        <v>109</v>
      </c>
      <c r="E86" s="12" t="s">
        <v>50</v>
      </c>
      <c r="F86" s="12" t="s">
        <v>51</v>
      </c>
      <c r="G86" s="12" t="s">
        <v>52</v>
      </c>
      <c r="H86" s="12">
        <v>2</v>
      </c>
      <c r="I86" s="14">
        <v>149.99</v>
      </c>
      <c r="J86" s="12" t="s">
        <v>63</v>
      </c>
      <c r="K86" s="12" t="s">
        <v>69</v>
      </c>
      <c r="L86" s="12" t="s">
        <v>42</v>
      </c>
      <c r="M86" s="13">
        <v>44667</v>
      </c>
      <c r="N86" s="14">
        <v>299.98</v>
      </c>
      <c r="O86" s="15">
        <f t="shared" ca="1" si="6"/>
        <v>46312</v>
      </c>
      <c r="P86" s="16">
        <f t="shared" ca="1" si="7"/>
        <v>46312.46113171296</v>
      </c>
      <c r="Q86" s="17">
        <f t="shared" ca="1" si="8"/>
        <v>4</v>
      </c>
      <c r="R86" s="7">
        <f t="shared" ca="1" si="9"/>
        <v>54</v>
      </c>
      <c r="S86" s="15">
        <f t="shared" si="10"/>
        <v>45535</v>
      </c>
      <c r="T86" s="7" t="str">
        <f t="shared" si="11"/>
        <v>Furni-Book-P008</v>
      </c>
    </row>
    <row r="87" spans="1:20">
      <c r="A87" s="12" t="s">
        <v>220</v>
      </c>
      <c r="B87" s="13">
        <v>45513</v>
      </c>
      <c r="C87" s="12" t="s">
        <v>95</v>
      </c>
      <c r="D87" s="12" t="s">
        <v>96</v>
      </c>
      <c r="E87" s="12" t="s">
        <v>123</v>
      </c>
      <c r="F87" s="12" t="s">
        <v>124</v>
      </c>
      <c r="G87" s="12" t="s">
        <v>25</v>
      </c>
      <c r="H87" s="12">
        <v>1</v>
      </c>
      <c r="I87" s="14">
        <v>89.99</v>
      </c>
      <c r="J87" s="12" t="s">
        <v>32</v>
      </c>
      <c r="K87" s="12" t="s">
        <v>46</v>
      </c>
      <c r="L87" s="12" t="s">
        <v>42</v>
      </c>
      <c r="M87" s="13">
        <v>45393</v>
      </c>
      <c r="N87" s="14">
        <v>89.99</v>
      </c>
      <c r="O87" s="15">
        <f t="shared" ca="1" si="6"/>
        <v>46312</v>
      </c>
      <c r="P87" s="16">
        <f t="shared" ca="1" si="7"/>
        <v>46312.46113171296</v>
      </c>
      <c r="Q87" s="17">
        <f t="shared" ca="1" si="8"/>
        <v>2</v>
      </c>
      <c r="R87" s="7">
        <f t="shared" ca="1" si="9"/>
        <v>30</v>
      </c>
      <c r="S87" s="15">
        <f t="shared" si="10"/>
        <v>45535</v>
      </c>
      <c r="T87" s="7" t="str">
        <f t="shared" si="11"/>
        <v>Elect-Keyb-P010</v>
      </c>
    </row>
    <row r="88" spans="1:20">
      <c r="A88" s="12" t="s">
        <v>221</v>
      </c>
      <c r="B88" s="13">
        <v>45515</v>
      </c>
      <c r="C88" s="12" t="s">
        <v>92</v>
      </c>
      <c r="D88" s="12" t="s">
        <v>93</v>
      </c>
      <c r="E88" s="12" t="s">
        <v>111</v>
      </c>
      <c r="F88" s="12" t="s">
        <v>112</v>
      </c>
      <c r="G88" s="12" t="s">
        <v>52</v>
      </c>
      <c r="H88" s="12">
        <v>5</v>
      </c>
      <c r="I88" s="14">
        <v>299.99</v>
      </c>
      <c r="J88" s="12" t="s">
        <v>32</v>
      </c>
      <c r="K88" s="12" t="s">
        <v>46</v>
      </c>
      <c r="L88" s="12" t="s">
        <v>28</v>
      </c>
      <c r="M88" s="13">
        <v>44965</v>
      </c>
      <c r="N88" s="14">
        <v>1499.95</v>
      </c>
      <c r="O88" s="15">
        <f t="shared" ca="1" si="6"/>
        <v>46312</v>
      </c>
      <c r="P88" s="16">
        <f t="shared" ca="1" si="7"/>
        <v>46312.46113171296</v>
      </c>
      <c r="Q88" s="17">
        <f t="shared" ca="1" si="8"/>
        <v>3</v>
      </c>
      <c r="R88" s="7">
        <f t="shared" ca="1" si="9"/>
        <v>44</v>
      </c>
      <c r="S88" s="15">
        <f t="shared" si="10"/>
        <v>45535</v>
      </c>
      <c r="T88" s="7" t="str">
        <f t="shared" si="11"/>
        <v>Furni-Desk-P007</v>
      </c>
    </row>
    <row r="89" spans="1:20">
      <c r="A89" s="12" t="s">
        <v>222</v>
      </c>
      <c r="B89" s="13">
        <v>45517</v>
      </c>
      <c r="C89" s="12" t="s">
        <v>188</v>
      </c>
      <c r="D89" s="12" t="s">
        <v>189</v>
      </c>
      <c r="E89" s="12" t="s">
        <v>58</v>
      </c>
      <c r="F89" s="12" t="s">
        <v>59</v>
      </c>
      <c r="G89" s="12" t="s">
        <v>25</v>
      </c>
      <c r="H89" s="12">
        <v>4</v>
      </c>
      <c r="I89" s="14">
        <v>149.99</v>
      </c>
      <c r="J89" s="12" t="s">
        <v>63</v>
      </c>
      <c r="K89" s="12" t="s">
        <v>41</v>
      </c>
      <c r="L89" s="12" t="s">
        <v>33</v>
      </c>
      <c r="M89" s="13">
        <v>44820</v>
      </c>
      <c r="N89" s="14">
        <v>599.96</v>
      </c>
      <c r="O89" s="15">
        <f t="shared" ca="1" si="6"/>
        <v>46312</v>
      </c>
      <c r="P89" s="16">
        <f t="shared" ca="1" si="7"/>
        <v>46312.46113171296</v>
      </c>
      <c r="Q89" s="17">
        <f t="shared" ca="1" si="8"/>
        <v>4</v>
      </c>
      <c r="R89" s="7">
        <f t="shared" ca="1" si="9"/>
        <v>49</v>
      </c>
      <c r="S89" s="15">
        <f t="shared" si="10"/>
        <v>45535</v>
      </c>
      <c r="T89" s="7" t="str">
        <f t="shared" si="11"/>
        <v>Elect-Head-P003</v>
      </c>
    </row>
    <row r="90" spans="1:20">
      <c r="A90" s="12" t="s">
        <v>223</v>
      </c>
      <c r="B90" s="13">
        <v>45517</v>
      </c>
      <c r="C90" s="12" t="s">
        <v>191</v>
      </c>
      <c r="D90" s="12" t="s">
        <v>192</v>
      </c>
      <c r="E90" s="12" t="s">
        <v>23</v>
      </c>
      <c r="F90" s="12" t="s">
        <v>24</v>
      </c>
      <c r="G90" s="12" t="s">
        <v>25</v>
      </c>
      <c r="H90" s="12">
        <v>5</v>
      </c>
      <c r="I90" s="14">
        <v>249.99</v>
      </c>
      <c r="J90" s="12" t="s">
        <v>40</v>
      </c>
      <c r="K90" s="12" t="s">
        <v>69</v>
      </c>
      <c r="L90" s="12" t="s">
        <v>33</v>
      </c>
      <c r="M90" s="13">
        <v>44782</v>
      </c>
      <c r="N90" s="14">
        <v>1249.95</v>
      </c>
      <c r="O90" s="15">
        <f t="shared" ca="1" si="6"/>
        <v>46312</v>
      </c>
      <c r="P90" s="16">
        <f t="shared" ca="1" si="7"/>
        <v>46312.46113171296</v>
      </c>
      <c r="Q90" s="17">
        <f t="shared" ca="1" si="8"/>
        <v>4</v>
      </c>
      <c r="R90" s="7">
        <f t="shared" ca="1" si="9"/>
        <v>50</v>
      </c>
      <c r="S90" s="15">
        <f t="shared" si="10"/>
        <v>45535</v>
      </c>
      <c r="T90" s="7" t="str">
        <f t="shared" si="11"/>
        <v>Elect-Moni-P009</v>
      </c>
    </row>
    <row r="91" spans="1:20">
      <c r="A91" s="12" t="s">
        <v>224</v>
      </c>
      <c r="B91" s="13">
        <v>45517</v>
      </c>
      <c r="C91" s="12" t="s">
        <v>71</v>
      </c>
      <c r="D91" s="12" t="s">
        <v>72</v>
      </c>
      <c r="E91" s="12" t="s">
        <v>23</v>
      </c>
      <c r="F91" s="12" t="s">
        <v>24</v>
      </c>
      <c r="G91" s="12" t="s">
        <v>25</v>
      </c>
      <c r="H91" s="12">
        <v>3</v>
      </c>
      <c r="I91" s="14">
        <v>249.99</v>
      </c>
      <c r="J91" s="12" t="s">
        <v>40</v>
      </c>
      <c r="K91" s="12" t="s">
        <v>46</v>
      </c>
      <c r="L91" s="12" t="s">
        <v>33</v>
      </c>
      <c r="M91" s="13">
        <v>44465</v>
      </c>
      <c r="N91" s="14">
        <v>749.97</v>
      </c>
      <c r="O91" s="15">
        <f t="shared" ca="1" si="6"/>
        <v>46312</v>
      </c>
      <c r="P91" s="16">
        <f t="shared" ca="1" si="7"/>
        <v>46312.46113171296</v>
      </c>
      <c r="Q91" s="17">
        <f t="shared" ca="1" si="8"/>
        <v>5</v>
      </c>
      <c r="R91" s="7">
        <f t="shared" ca="1" si="9"/>
        <v>60</v>
      </c>
      <c r="S91" s="15">
        <f t="shared" si="10"/>
        <v>45535</v>
      </c>
      <c r="T91" s="7" t="str">
        <f t="shared" si="11"/>
        <v>Elect-Moni-P009</v>
      </c>
    </row>
    <row r="92" spans="1:20">
      <c r="A92" s="12" t="s">
        <v>225</v>
      </c>
      <c r="B92" s="13">
        <v>45517</v>
      </c>
      <c r="C92" s="12" t="s">
        <v>44</v>
      </c>
      <c r="D92" s="12" t="s">
        <v>45</v>
      </c>
      <c r="E92" s="12" t="s">
        <v>132</v>
      </c>
      <c r="F92" s="12" t="s">
        <v>133</v>
      </c>
      <c r="G92" s="12" t="s">
        <v>52</v>
      </c>
      <c r="H92" s="12">
        <v>4</v>
      </c>
      <c r="I92" s="14">
        <v>199.99</v>
      </c>
      <c r="J92" s="12" t="s">
        <v>26</v>
      </c>
      <c r="K92" s="12" t="s">
        <v>46</v>
      </c>
      <c r="L92" s="12" t="s">
        <v>42</v>
      </c>
      <c r="M92" s="13">
        <v>44458</v>
      </c>
      <c r="N92" s="14">
        <v>799.96</v>
      </c>
      <c r="O92" s="15">
        <f t="shared" ca="1" si="6"/>
        <v>46312</v>
      </c>
      <c r="P92" s="16">
        <f t="shared" ca="1" si="7"/>
        <v>46312.46113171296</v>
      </c>
      <c r="Q92" s="17">
        <f t="shared" ca="1" si="8"/>
        <v>5</v>
      </c>
      <c r="R92" s="7">
        <f t="shared" ca="1" si="9"/>
        <v>60</v>
      </c>
      <c r="S92" s="15">
        <f t="shared" si="10"/>
        <v>45535</v>
      </c>
      <c r="T92" s="7" t="str">
        <f t="shared" si="11"/>
        <v>Furni-Offi-P006</v>
      </c>
    </row>
    <row r="93" spans="1:20">
      <c r="A93" s="12" t="s">
        <v>226</v>
      </c>
      <c r="B93" s="13">
        <v>45519</v>
      </c>
      <c r="C93" s="12" t="s">
        <v>164</v>
      </c>
      <c r="D93" s="12" t="s">
        <v>165</v>
      </c>
      <c r="E93" s="12" t="s">
        <v>132</v>
      </c>
      <c r="F93" s="12" t="s">
        <v>133</v>
      </c>
      <c r="G93" s="12" t="s">
        <v>52</v>
      </c>
      <c r="H93" s="12">
        <v>5</v>
      </c>
      <c r="I93" s="14">
        <v>199.99</v>
      </c>
      <c r="J93" s="12" t="s">
        <v>26</v>
      </c>
      <c r="K93" s="12" t="s">
        <v>46</v>
      </c>
      <c r="L93" s="12" t="s">
        <v>33</v>
      </c>
      <c r="M93" s="13">
        <v>44991</v>
      </c>
      <c r="N93" s="14">
        <v>999.95</v>
      </c>
      <c r="O93" s="15">
        <f t="shared" ca="1" si="6"/>
        <v>46312</v>
      </c>
      <c r="P93" s="16">
        <f t="shared" ca="1" si="7"/>
        <v>46312.46113171296</v>
      </c>
      <c r="Q93" s="17">
        <f t="shared" ca="1" si="8"/>
        <v>3</v>
      </c>
      <c r="R93" s="7">
        <f t="shared" ca="1" si="9"/>
        <v>43</v>
      </c>
      <c r="S93" s="15">
        <f t="shared" si="10"/>
        <v>45535</v>
      </c>
      <c r="T93" s="7" t="str">
        <f t="shared" si="11"/>
        <v>Furni-Offi-P006</v>
      </c>
    </row>
    <row r="94" spans="1:20">
      <c r="A94" s="12" t="s">
        <v>227</v>
      </c>
      <c r="B94" s="13">
        <v>45522</v>
      </c>
      <c r="C94" s="12" t="s">
        <v>92</v>
      </c>
      <c r="D94" s="12" t="s">
        <v>93</v>
      </c>
      <c r="E94" s="12" t="s">
        <v>123</v>
      </c>
      <c r="F94" s="12" t="s">
        <v>124</v>
      </c>
      <c r="G94" s="12" t="s">
        <v>25</v>
      </c>
      <c r="H94" s="12">
        <v>2</v>
      </c>
      <c r="I94" s="14">
        <v>89.99</v>
      </c>
      <c r="J94" s="12" t="s">
        <v>26</v>
      </c>
      <c r="K94" s="12" t="s">
        <v>69</v>
      </c>
      <c r="L94" s="12" t="s">
        <v>33</v>
      </c>
      <c r="M94" s="13">
        <v>44972</v>
      </c>
      <c r="N94" s="14">
        <v>179.98</v>
      </c>
      <c r="O94" s="15">
        <f t="shared" ca="1" si="6"/>
        <v>46312</v>
      </c>
      <c r="P94" s="16">
        <f t="shared" ca="1" si="7"/>
        <v>46312.46113171296</v>
      </c>
      <c r="Q94" s="17">
        <f t="shared" ca="1" si="8"/>
        <v>3</v>
      </c>
      <c r="R94" s="7">
        <f t="shared" ca="1" si="9"/>
        <v>44</v>
      </c>
      <c r="S94" s="15">
        <f t="shared" si="10"/>
        <v>45535</v>
      </c>
      <c r="T94" s="7" t="str">
        <f t="shared" si="11"/>
        <v>Elect-Keyb-P010</v>
      </c>
    </row>
    <row r="95" spans="1:20">
      <c r="A95" s="12" t="s">
        <v>228</v>
      </c>
      <c r="B95" s="13">
        <v>45523</v>
      </c>
      <c r="C95" s="12" t="s">
        <v>202</v>
      </c>
      <c r="D95" s="12" t="s">
        <v>203</v>
      </c>
      <c r="E95" s="12" t="s">
        <v>67</v>
      </c>
      <c r="F95" s="12" t="s">
        <v>68</v>
      </c>
      <c r="G95" s="12" t="s">
        <v>25</v>
      </c>
      <c r="H95" s="12">
        <v>5</v>
      </c>
      <c r="I95" s="14">
        <v>899.99</v>
      </c>
      <c r="J95" s="12" t="s">
        <v>63</v>
      </c>
      <c r="K95" s="12" t="s">
        <v>69</v>
      </c>
      <c r="L95" s="12" t="s">
        <v>28</v>
      </c>
      <c r="M95" s="13">
        <v>44526</v>
      </c>
      <c r="N95" s="14">
        <v>4499.95</v>
      </c>
      <c r="O95" s="15">
        <f t="shared" ca="1" si="6"/>
        <v>46312</v>
      </c>
      <c r="P95" s="16">
        <f t="shared" ca="1" si="7"/>
        <v>46312.46113171296</v>
      </c>
      <c r="Q95" s="17">
        <f t="shared" ca="1" si="8"/>
        <v>4</v>
      </c>
      <c r="R95" s="7">
        <f t="shared" ca="1" si="9"/>
        <v>58</v>
      </c>
      <c r="S95" s="15">
        <f t="shared" si="10"/>
        <v>45535</v>
      </c>
      <c r="T95" s="7" t="str">
        <f t="shared" si="11"/>
        <v>Elect-Lapt-P001</v>
      </c>
    </row>
    <row r="96" spans="1:20">
      <c r="A96" s="12" t="s">
        <v>229</v>
      </c>
      <c r="B96" s="13">
        <v>45523</v>
      </c>
      <c r="C96" s="12" t="s">
        <v>114</v>
      </c>
      <c r="D96" s="12" t="s">
        <v>115</v>
      </c>
      <c r="E96" s="12" t="s">
        <v>58</v>
      </c>
      <c r="F96" s="12" t="s">
        <v>59</v>
      </c>
      <c r="G96" s="12" t="s">
        <v>25</v>
      </c>
      <c r="H96" s="12">
        <v>3</v>
      </c>
      <c r="I96" s="14">
        <v>149.99</v>
      </c>
      <c r="J96" s="12" t="s">
        <v>40</v>
      </c>
      <c r="K96" s="12" t="s">
        <v>69</v>
      </c>
      <c r="L96" s="12" t="s">
        <v>28</v>
      </c>
      <c r="M96" s="13">
        <v>44574</v>
      </c>
      <c r="N96" s="14">
        <v>449.97</v>
      </c>
      <c r="O96" s="15">
        <f t="shared" ca="1" si="6"/>
        <v>46312</v>
      </c>
      <c r="P96" s="16">
        <f t="shared" ca="1" si="7"/>
        <v>46312.46113171296</v>
      </c>
      <c r="Q96" s="17">
        <f t="shared" ca="1" si="8"/>
        <v>4</v>
      </c>
      <c r="R96" s="7">
        <f t="shared" ca="1" si="9"/>
        <v>57</v>
      </c>
      <c r="S96" s="15">
        <f t="shared" si="10"/>
        <v>45535</v>
      </c>
      <c r="T96" s="7" t="str">
        <f t="shared" si="11"/>
        <v>Elect-Head-P003</v>
      </c>
    </row>
    <row r="97" spans="1:20">
      <c r="A97" s="12" t="s">
        <v>230</v>
      </c>
      <c r="B97" s="13">
        <v>45526</v>
      </c>
      <c r="C97" s="12" t="s">
        <v>108</v>
      </c>
      <c r="D97" s="12" t="s">
        <v>109</v>
      </c>
      <c r="E97" s="12" t="s">
        <v>50</v>
      </c>
      <c r="F97" s="12" t="s">
        <v>51</v>
      </c>
      <c r="G97" s="12" t="s">
        <v>52</v>
      </c>
      <c r="H97" s="12">
        <v>5</v>
      </c>
      <c r="I97" s="14">
        <v>149.99</v>
      </c>
      <c r="J97" s="12" t="s">
        <v>32</v>
      </c>
      <c r="K97" s="12" t="s">
        <v>27</v>
      </c>
      <c r="L97" s="12" t="s">
        <v>28</v>
      </c>
      <c r="M97" s="13">
        <v>45310</v>
      </c>
      <c r="N97" s="14">
        <v>749.95</v>
      </c>
      <c r="O97" s="15">
        <f t="shared" ca="1" si="6"/>
        <v>46312</v>
      </c>
      <c r="P97" s="16">
        <f t="shared" ca="1" si="7"/>
        <v>46312.46113171296</v>
      </c>
      <c r="Q97" s="17">
        <f t="shared" ca="1" si="8"/>
        <v>2</v>
      </c>
      <c r="R97" s="7">
        <f t="shared" ca="1" si="9"/>
        <v>32</v>
      </c>
      <c r="S97" s="15">
        <f t="shared" si="10"/>
        <v>45535</v>
      </c>
      <c r="T97" s="7" t="str">
        <f t="shared" si="11"/>
        <v>Furni-Book-P008</v>
      </c>
    </row>
    <row r="98" spans="1:20">
      <c r="A98" s="12" t="s">
        <v>231</v>
      </c>
      <c r="B98" s="13">
        <v>45528</v>
      </c>
      <c r="C98" s="12" t="s">
        <v>232</v>
      </c>
      <c r="D98" s="12" t="s">
        <v>233</v>
      </c>
      <c r="E98" s="12" t="s">
        <v>120</v>
      </c>
      <c r="F98" s="12" t="s">
        <v>121</v>
      </c>
      <c r="G98" s="12" t="s">
        <v>39</v>
      </c>
      <c r="H98" s="12">
        <v>3</v>
      </c>
      <c r="I98" s="14">
        <v>79.989999999999995</v>
      </c>
      <c r="J98" s="12" t="s">
        <v>26</v>
      </c>
      <c r="K98" s="12" t="s">
        <v>27</v>
      </c>
      <c r="L98" s="12" t="s">
        <v>33</v>
      </c>
      <c r="M98" s="13">
        <v>44779</v>
      </c>
      <c r="N98" s="14">
        <v>239.97</v>
      </c>
      <c r="O98" s="15">
        <f t="shared" ca="1" si="6"/>
        <v>46312</v>
      </c>
      <c r="P98" s="16">
        <f t="shared" ca="1" si="7"/>
        <v>46312.46113171296</v>
      </c>
      <c r="Q98" s="17">
        <f t="shared" ca="1" si="8"/>
        <v>4</v>
      </c>
      <c r="R98" s="7">
        <f t="shared" ca="1" si="9"/>
        <v>50</v>
      </c>
      <c r="S98" s="15">
        <f t="shared" si="10"/>
        <v>45535</v>
      </c>
      <c r="T98" s="7" t="str">
        <f t="shared" si="11"/>
        <v>Appli-Coff-P004</v>
      </c>
    </row>
    <row r="99" spans="1:20">
      <c r="A99" s="12" t="s">
        <v>234</v>
      </c>
      <c r="B99" s="13">
        <v>45528</v>
      </c>
      <c r="C99" s="12" t="s">
        <v>150</v>
      </c>
      <c r="D99" s="12" t="s">
        <v>151</v>
      </c>
      <c r="E99" s="12" t="s">
        <v>23</v>
      </c>
      <c r="F99" s="12" t="s">
        <v>24</v>
      </c>
      <c r="G99" s="12" t="s">
        <v>25</v>
      </c>
      <c r="H99" s="12">
        <v>2</v>
      </c>
      <c r="I99" s="14">
        <v>249.99</v>
      </c>
      <c r="J99" s="12" t="s">
        <v>26</v>
      </c>
      <c r="K99" s="12" t="s">
        <v>41</v>
      </c>
      <c r="L99" s="12" t="s">
        <v>42</v>
      </c>
      <c r="M99" s="13">
        <v>44572</v>
      </c>
      <c r="N99" s="14">
        <v>499.98</v>
      </c>
      <c r="O99" s="15">
        <f t="shared" ca="1" si="6"/>
        <v>46312</v>
      </c>
      <c r="P99" s="16">
        <f t="shared" ca="1" si="7"/>
        <v>46312.46113171296</v>
      </c>
      <c r="Q99" s="17">
        <f t="shared" ca="1" si="8"/>
        <v>4</v>
      </c>
      <c r="R99" s="7">
        <f t="shared" ca="1" si="9"/>
        <v>57</v>
      </c>
      <c r="S99" s="15">
        <f t="shared" si="10"/>
        <v>45535</v>
      </c>
      <c r="T99" s="7" t="str">
        <f t="shared" si="11"/>
        <v>Elect-Moni-P009</v>
      </c>
    </row>
    <row r="100" spans="1:20">
      <c r="A100" s="12" t="s">
        <v>235</v>
      </c>
      <c r="B100" s="13">
        <v>45532</v>
      </c>
      <c r="C100" s="12" t="s">
        <v>202</v>
      </c>
      <c r="D100" s="12" t="s">
        <v>203</v>
      </c>
      <c r="E100" s="12" t="s">
        <v>86</v>
      </c>
      <c r="F100" s="12" t="s">
        <v>87</v>
      </c>
      <c r="G100" s="12" t="s">
        <v>25</v>
      </c>
      <c r="H100" s="12">
        <v>1</v>
      </c>
      <c r="I100" s="14">
        <v>699.99</v>
      </c>
      <c r="J100" s="12" t="s">
        <v>26</v>
      </c>
      <c r="K100" s="12" t="s">
        <v>27</v>
      </c>
      <c r="L100" s="12" t="s">
        <v>33</v>
      </c>
      <c r="M100" s="13">
        <v>44497</v>
      </c>
      <c r="N100" s="14">
        <v>699.99</v>
      </c>
      <c r="O100" s="15">
        <f t="shared" ca="1" si="6"/>
        <v>46312</v>
      </c>
      <c r="P100" s="16">
        <f t="shared" ca="1" si="7"/>
        <v>46312.46113171296</v>
      </c>
      <c r="Q100" s="17">
        <f t="shared" ca="1" si="8"/>
        <v>4</v>
      </c>
      <c r="R100" s="7">
        <f t="shared" ca="1" si="9"/>
        <v>59</v>
      </c>
      <c r="S100" s="15">
        <f t="shared" si="10"/>
        <v>45535</v>
      </c>
      <c r="T100" s="7" t="str">
        <f t="shared" si="11"/>
        <v>Elect-Smar-P002</v>
      </c>
    </row>
    <row r="101" spans="1:20">
      <c r="A101" s="12" t="s">
        <v>236</v>
      </c>
      <c r="B101" s="13">
        <v>45532</v>
      </c>
      <c r="C101" s="12" t="s">
        <v>237</v>
      </c>
      <c r="D101" s="12" t="s">
        <v>238</v>
      </c>
      <c r="E101" s="12" t="s">
        <v>58</v>
      </c>
      <c r="F101" s="12" t="s">
        <v>59</v>
      </c>
      <c r="G101" s="12" t="s">
        <v>25</v>
      </c>
      <c r="H101" s="12">
        <v>3</v>
      </c>
      <c r="I101" s="14">
        <v>149.99</v>
      </c>
      <c r="J101" s="12" t="s">
        <v>26</v>
      </c>
      <c r="K101" s="12" t="s">
        <v>56</v>
      </c>
      <c r="L101" s="12" t="s">
        <v>33</v>
      </c>
      <c r="M101" s="13">
        <v>45212</v>
      </c>
      <c r="N101" s="14">
        <v>449.97</v>
      </c>
      <c r="O101" s="15">
        <f t="shared" ca="1" si="6"/>
        <v>46312</v>
      </c>
      <c r="P101" s="16">
        <f t="shared" ca="1" si="7"/>
        <v>46312.46113171296</v>
      </c>
      <c r="Q101" s="17">
        <f t="shared" ca="1" si="8"/>
        <v>3</v>
      </c>
      <c r="R101" s="7">
        <f t="shared" ca="1" si="9"/>
        <v>36</v>
      </c>
      <c r="S101" s="15">
        <f t="shared" si="10"/>
        <v>45535</v>
      </c>
      <c r="T101" s="7" t="str">
        <f t="shared" si="11"/>
        <v>Elect-Head-P003</v>
      </c>
    </row>
    <row r="102" spans="1:20">
      <c r="A102" s="12" t="s">
        <v>239</v>
      </c>
      <c r="B102" s="13">
        <v>45534</v>
      </c>
      <c r="C102" s="12" t="s">
        <v>240</v>
      </c>
      <c r="D102" s="12" t="s">
        <v>241</v>
      </c>
      <c r="E102" s="12" t="s">
        <v>86</v>
      </c>
      <c r="F102" s="12" t="s">
        <v>87</v>
      </c>
      <c r="G102" s="12" t="s">
        <v>25</v>
      </c>
      <c r="H102" s="12">
        <v>2</v>
      </c>
      <c r="I102" s="14">
        <v>699.99</v>
      </c>
      <c r="J102" s="12" t="s">
        <v>32</v>
      </c>
      <c r="K102" s="12" t="s">
        <v>46</v>
      </c>
      <c r="L102" s="12" t="s">
        <v>33</v>
      </c>
      <c r="M102" s="13">
        <v>44421</v>
      </c>
      <c r="N102" s="14">
        <v>1399.98</v>
      </c>
      <c r="O102" s="15">
        <f t="shared" ca="1" si="6"/>
        <v>46312</v>
      </c>
      <c r="P102" s="16">
        <f t="shared" ca="1" si="7"/>
        <v>46312.46113171296</v>
      </c>
      <c r="Q102" s="17">
        <f t="shared" ca="1" si="8"/>
        <v>5</v>
      </c>
      <c r="R102" s="7">
        <f t="shared" ca="1" si="9"/>
        <v>62</v>
      </c>
      <c r="S102" s="15">
        <f t="shared" si="10"/>
        <v>45535</v>
      </c>
      <c r="T102" s="7" t="str">
        <f t="shared" si="11"/>
        <v>Elect-Smar-P002</v>
      </c>
    </row>
    <row r="103" spans="1:20">
      <c r="A103" s="12" t="s">
        <v>242</v>
      </c>
      <c r="B103" s="13">
        <v>45537</v>
      </c>
      <c r="C103" s="12" t="s">
        <v>237</v>
      </c>
      <c r="D103" s="12" t="s">
        <v>238</v>
      </c>
      <c r="E103" s="12" t="s">
        <v>23</v>
      </c>
      <c r="F103" s="12" t="s">
        <v>24</v>
      </c>
      <c r="G103" s="12" t="s">
        <v>25</v>
      </c>
      <c r="H103" s="12">
        <v>1</v>
      </c>
      <c r="I103" s="14">
        <v>249.99</v>
      </c>
      <c r="J103" s="12" t="s">
        <v>32</v>
      </c>
      <c r="K103" s="12" t="s">
        <v>56</v>
      </c>
      <c r="L103" s="12" t="s">
        <v>33</v>
      </c>
      <c r="M103" s="13">
        <v>44685</v>
      </c>
      <c r="N103" s="14">
        <v>249.99</v>
      </c>
      <c r="O103" s="15">
        <f t="shared" ca="1" si="6"/>
        <v>46312</v>
      </c>
      <c r="P103" s="16">
        <f t="shared" ca="1" si="7"/>
        <v>46312.46113171296</v>
      </c>
      <c r="Q103" s="17">
        <f t="shared" ca="1" si="8"/>
        <v>4</v>
      </c>
      <c r="R103" s="7">
        <f t="shared" ca="1" si="9"/>
        <v>53</v>
      </c>
      <c r="S103" s="15">
        <f t="shared" si="10"/>
        <v>45565</v>
      </c>
      <c r="T103" s="7" t="str">
        <f t="shared" si="11"/>
        <v>Elect-Moni-P009</v>
      </c>
    </row>
    <row r="104" spans="1:20">
      <c r="A104" s="12" t="s">
        <v>243</v>
      </c>
      <c r="B104" s="13">
        <v>45537</v>
      </c>
      <c r="C104" s="12" t="s">
        <v>21</v>
      </c>
      <c r="D104" s="12" t="s">
        <v>22</v>
      </c>
      <c r="E104" s="12" t="s">
        <v>23</v>
      </c>
      <c r="F104" s="12" t="s">
        <v>24</v>
      </c>
      <c r="G104" s="12" t="s">
        <v>25</v>
      </c>
      <c r="H104" s="12">
        <v>1</v>
      </c>
      <c r="I104" s="14">
        <v>249.99</v>
      </c>
      <c r="J104" s="12" t="s">
        <v>63</v>
      </c>
      <c r="K104" s="12" t="s">
        <v>46</v>
      </c>
      <c r="L104" s="12" t="s">
        <v>33</v>
      </c>
      <c r="M104" s="13">
        <v>45332</v>
      </c>
      <c r="N104" s="14">
        <v>249.99</v>
      </c>
      <c r="O104" s="15">
        <f t="shared" ca="1" si="6"/>
        <v>46312</v>
      </c>
      <c r="P104" s="16">
        <f t="shared" ca="1" si="7"/>
        <v>46312.46113171296</v>
      </c>
      <c r="Q104" s="17">
        <f t="shared" ca="1" si="8"/>
        <v>2</v>
      </c>
      <c r="R104" s="7">
        <f t="shared" ca="1" si="9"/>
        <v>32</v>
      </c>
      <c r="S104" s="15">
        <f t="shared" si="10"/>
        <v>45565</v>
      </c>
      <c r="T104" s="7" t="str">
        <f t="shared" si="11"/>
        <v>Elect-Moni-P009</v>
      </c>
    </row>
    <row r="105" spans="1:20">
      <c r="A105" s="12" t="s">
        <v>244</v>
      </c>
      <c r="B105" s="13">
        <v>45538</v>
      </c>
      <c r="C105" s="12" t="s">
        <v>232</v>
      </c>
      <c r="D105" s="12" t="s">
        <v>233</v>
      </c>
      <c r="E105" s="12" t="s">
        <v>86</v>
      </c>
      <c r="F105" s="12" t="s">
        <v>87</v>
      </c>
      <c r="G105" s="12" t="s">
        <v>25</v>
      </c>
      <c r="H105" s="12">
        <v>2</v>
      </c>
      <c r="I105" s="14">
        <v>699.99</v>
      </c>
      <c r="J105" s="12" t="s">
        <v>63</v>
      </c>
      <c r="K105" s="12" t="s">
        <v>27</v>
      </c>
      <c r="L105" s="12" t="s">
        <v>33</v>
      </c>
      <c r="M105" s="13">
        <v>44870</v>
      </c>
      <c r="N105" s="14">
        <v>1399.98</v>
      </c>
      <c r="O105" s="15">
        <f t="shared" ca="1" si="6"/>
        <v>46312</v>
      </c>
      <c r="P105" s="16">
        <f t="shared" ca="1" si="7"/>
        <v>46312.46113171296</v>
      </c>
      <c r="Q105" s="17">
        <f t="shared" ca="1" si="8"/>
        <v>3</v>
      </c>
      <c r="R105" s="7">
        <f t="shared" ca="1" si="9"/>
        <v>47</v>
      </c>
      <c r="S105" s="15">
        <f t="shared" si="10"/>
        <v>45565</v>
      </c>
      <c r="T105" s="7" t="str">
        <f t="shared" si="11"/>
        <v>Elect-Smar-P002</v>
      </c>
    </row>
    <row r="106" spans="1:20">
      <c r="A106" s="12" t="s">
        <v>245</v>
      </c>
      <c r="B106" s="13">
        <v>45541</v>
      </c>
      <c r="C106" s="12" t="s">
        <v>144</v>
      </c>
      <c r="D106" s="12" t="s">
        <v>145</v>
      </c>
      <c r="E106" s="12" t="s">
        <v>37</v>
      </c>
      <c r="F106" s="12" t="s">
        <v>38</v>
      </c>
      <c r="G106" s="12" t="s">
        <v>39</v>
      </c>
      <c r="H106" s="12">
        <v>3</v>
      </c>
      <c r="I106" s="14">
        <v>59.99</v>
      </c>
      <c r="J106" s="12" t="s">
        <v>32</v>
      </c>
      <c r="K106" s="12" t="s">
        <v>27</v>
      </c>
      <c r="L106" s="12" t="s">
        <v>33</v>
      </c>
      <c r="M106" s="13">
        <v>44717</v>
      </c>
      <c r="N106" s="14">
        <v>179.97</v>
      </c>
      <c r="O106" s="15">
        <f t="shared" ca="1" si="6"/>
        <v>46312</v>
      </c>
      <c r="P106" s="16">
        <f t="shared" ca="1" si="7"/>
        <v>46312.46113171296</v>
      </c>
      <c r="Q106" s="17">
        <f t="shared" ca="1" si="8"/>
        <v>4</v>
      </c>
      <c r="R106" s="7">
        <f t="shared" ca="1" si="9"/>
        <v>52</v>
      </c>
      <c r="S106" s="15">
        <f t="shared" si="10"/>
        <v>45565</v>
      </c>
      <c r="T106" s="7" t="str">
        <f t="shared" si="11"/>
        <v>Appli-Blen-P005</v>
      </c>
    </row>
    <row r="107" spans="1:20">
      <c r="A107" s="12" t="s">
        <v>246</v>
      </c>
      <c r="B107" s="13">
        <v>45544</v>
      </c>
      <c r="C107" s="12" t="s">
        <v>138</v>
      </c>
      <c r="D107" s="12" t="s">
        <v>139</v>
      </c>
      <c r="E107" s="12" t="s">
        <v>37</v>
      </c>
      <c r="F107" s="12" t="s">
        <v>38</v>
      </c>
      <c r="G107" s="12" t="s">
        <v>39</v>
      </c>
      <c r="H107" s="12">
        <v>3</v>
      </c>
      <c r="I107" s="14">
        <v>59.99</v>
      </c>
      <c r="J107" s="12" t="s">
        <v>40</v>
      </c>
      <c r="K107" s="12" t="s">
        <v>69</v>
      </c>
      <c r="L107" s="12" t="s">
        <v>42</v>
      </c>
      <c r="M107" s="13">
        <v>44748</v>
      </c>
      <c r="N107" s="14">
        <v>179.97</v>
      </c>
      <c r="O107" s="15">
        <f t="shared" ca="1" si="6"/>
        <v>46312</v>
      </c>
      <c r="P107" s="16">
        <f t="shared" ca="1" si="7"/>
        <v>46312.46113171296</v>
      </c>
      <c r="Q107" s="17">
        <f t="shared" ca="1" si="8"/>
        <v>4</v>
      </c>
      <c r="R107" s="7">
        <f t="shared" ca="1" si="9"/>
        <v>51</v>
      </c>
      <c r="S107" s="15">
        <f t="shared" si="10"/>
        <v>45565</v>
      </c>
      <c r="T107" s="7" t="str">
        <f t="shared" si="11"/>
        <v>Appli-Blen-P005</v>
      </c>
    </row>
    <row r="108" spans="1:20">
      <c r="A108" s="12" t="s">
        <v>247</v>
      </c>
      <c r="B108" s="13">
        <v>45544</v>
      </c>
      <c r="C108" s="12" t="s">
        <v>147</v>
      </c>
      <c r="D108" s="12" t="s">
        <v>148</v>
      </c>
      <c r="E108" s="12" t="s">
        <v>120</v>
      </c>
      <c r="F108" s="12" t="s">
        <v>121</v>
      </c>
      <c r="G108" s="12" t="s">
        <v>39</v>
      </c>
      <c r="H108" s="12">
        <v>4</v>
      </c>
      <c r="I108" s="14">
        <v>79.989999999999995</v>
      </c>
      <c r="J108" s="12" t="s">
        <v>26</v>
      </c>
      <c r="K108" s="12" t="s">
        <v>46</v>
      </c>
      <c r="L108" s="12" t="s">
        <v>28</v>
      </c>
      <c r="M108" s="13">
        <v>44530</v>
      </c>
      <c r="N108" s="14">
        <v>319.95999999999998</v>
      </c>
      <c r="O108" s="15">
        <f t="shared" ca="1" si="6"/>
        <v>46312</v>
      </c>
      <c r="P108" s="16">
        <f t="shared" ca="1" si="7"/>
        <v>46312.46113171296</v>
      </c>
      <c r="Q108" s="17">
        <f t="shared" ca="1" si="8"/>
        <v>4</v>
      </c>
      <c r="R108" s="7">
        <f t="shared" ca="1" si="9"/>
        <v>58</v>
      </c>
      <c r="S108" s="15">
        <f t="shared" si="10"/>
        <v>45565</v>
      </c>
      <c r="T108" s="7" t="str">
        <f t="shared" si="11"/>
        <v>Appli-Coff-P004</v>
      </c>
    </row>
    <row r="109" spans="1:20">
      <c r="A109" s="12" t="s">
        <v>248</v>
      </c>
      <c r="B109" s="13">
        <v>45545</v>
      </c>
      <c r="C109" s="12" t="s">
        <v>61</v>
      </c>
      <c r="D109" s="12" t="s">
        <v>62</v>
      </c>
      <c r="E109" s="12" t="s">
        <v>120</v>
      </c>
      <c r="F109" s="12" t="s">
        <v>121</v>
      </c>
      <c r="G109" s="12" t="s">
        <v>39</v>
      </c>
      <c r="H109" s="12">
        <v>1</v>
      </c>
      <c r="I109" s="14">
        <v>79.989999999999995</v>
      </c>
      <c r="J109" s="12" t="s">
        <v>26</v>
      </c>
      <c r="K109" s="12" t="s">
        <v>56</v>
      </c>
      <c r="L109" s="12" t="s">
        <v>28</v>
      </c>
      <c r="M109" s="13">
        <v>44693</v>
      </c>
      <c r="N109" s="14">
        <v>79.989999999999995</v>
      </c>
      <c r="O109" s="15">
        <f t="shared" ca="1" si="6"/>
        <v>46312</v>
      </c>
      <c r="P109" s="16">
        <f t="shared" ca="1" si="7"/>
        <v>46312.46113171296</v>
      </c>
      <c r="Q109" s="17">
        <f t="shared" ca="1" si="8"/>
        <v>4</v>
      </c>
      <c r="R109" s="7">
        <f t="shared" ca="1" si="9"/>
        <v>53</v>
      </c>
      <c r="S109" s="15">
        <f t="shared" si="10"/>
        <v>45565</v>
      </c>
      <c r="T109" s="7" t="str">
        <f t="shared" si="11"/>
        <v>Appli-Coff-P004</v>
      </c>
    </row>
    <row r="110" spans="1:20">
      <c r="A110" s="12" t="s">
        <v>249</v>
      </c>
      <c r="B110" s="13">
        <v>45547</v>
      </c>
      <c r="C110" s="12" t="s">
        <v>54</v>
      </c>
      <c r="D110" s="12" t="s">
        <v>55</v>
      </c>
      <c r="E110" s="12" t="s">
        <v>111</v>
      </c>
      <c r="F110" s="12" t="s">
        <v>112</v>
      </c>
      <c r="G110" s="12" t="s">
        <v>52</v>
      </c>
      <c r="H110" s="12">
        <v>3</v>
      </c>
      <c r="I110" s="14">
        <v>299.99</v>
      </c>
      <c r="J110" s="12" t="s">
        <v>32</v>
      </c>
      <c r="K110" s="12" t="s">
        <v>27</v>
      </c>
      <c r="L110" s="12" t="s">
        <v>33</v>
      </c>
      <c r="M110" s="13">
        <v>44494</v>
      </c>
      <c r="N110" s="14">
        <v>899.97</v>
      </c>
      <c r="O110" s="15">
        <f t="shared" ca="1" si="6"/>
        <v>46312</v>
      </c>
      <c r="P110" s="16">
        <f t="shared" ca="1" si="7"/>
        <v>46312.46113171296</v>
      </c>
      <c r="Q110" s="17">
        <f t="shared" ca="1" si="8"/>
        <v>4</v>
      </c>
      <c r="R110" s="7">
        <f t="shared" ca="1" si="9"/>
        <v>59</v>
      </c>
      <c r="S110" s="15">
        <f t="shared" si="10"/>
        <v>45565</v>
      </c>
      <c r="T110" s="7" t="str">
        <f t="shared" si="11"/>
        <v>Furni-Desk-P007</v>
      </c>
    </row>
    <row r="111" spans="1:20">
      <c r="A111" s="12" t="s">
        <v>250</v>
      </c>
      <c r="B111" s="13">
        <v>45548</v>
      </c>
      <c r="C111" s="12" t="s">
        <v>44</v>
      </c>
      <c r="D111" s="12" t="s">
        <v>45</v>
      </c>
      <c r="E111" s="12" t="s">
        <v>123</v>
      </c>
      <c r="F111" s="12" t="s">
        <v>124</v>
      </c>
      <c r="G111" s="12" t="s">
        <v>25</v>
      </c>
      <c r="H111" s="12">
        <v>2</v>
      </c>
      <c r="I111" s="14">
        <v>89.99</v>
      </c>
      <c r="J111" s="12" t="s">
        <v>32</v>
      </c>
      <c r="K111" s="12" t="s">
        <v>41</v>
      </c>
      <c r="L111" s="12" t="s">
        <v>33</v>
      </c>
      <c r="M111" s="13">
        <v>44641</v>
      </c>
      <c r="N111" s="14">
        <v>179.98</v>
      </c>
      <c r="O111" s="15">
        <f t="shared" ca="1" si="6"/>
        <v>46312</v>
      </c>
      <c r="P111" s="16">
        <f t="shared" ca="1" si="7"/>
        <v>46312.46113171296</v>
      </c>
      <c r="Q111" s="17">
        <f t="shared" ca="1" si="8"/>
        <v>4</v>
      </c>
      <c r="R111" s="7">
        <f t="shared" ca="1" si="9"/>
        <v>54</v>
      </c>
      <c r="S111" s="15">
        <f t="shared" si="10"/>
        <v>45565</v>
      </c>
      <c r="T111" s="7" t="str">
        <f t="shared" si="11"/>
        <v>Elect-Keyb-P010</v>
      </c>
    </row>
    <row r="112" spans="1:20">
      <c r="A112" s="12" t="s">
        <v>251</v>
      </c>
      <c r="B112" s="13">
        <v>45550</v>
      </c>
      <c r="C112" s="12" t="s">
        <v>252</v>
      </c>
      <c r="D112" s="12" t="s">
        <v>253</v>
      </c>
      <c r="E112" s="12" t="s">
        <v>58</v>
      </c>
      <c r="F112" s="12" t="s">
        <v>59</v>
      </c>
      <c r="G112" s="12" t="s">
        <v>25</v>
      </c>
      <c r="H112" s="12">
        <v>4</v>
      </c>
      <c r="I112" s="14">
        <v>149.99</v>
      </c>
      <c r="J112" s="12" t="s">
        <v>26</v>
      </c>
      <c r="K112" s="12" t="s">
        <v>46</v>
      </c>
      <c r="L112" s="12" t="s">
        <v>28</v>
      </c>
      <c r="M112" s="13">
        <v>44909</v>
      </c>
      <c r="N112" s="14">
        <v>599.96</v>
      </c>
      <c r="O112" s="15">
        <f t="shared" ca="1" si="6"/>
        <v>46312</v>
      </c>
      <c r="P112" s="16">
        <f t="shared" ca="1" si="7"/>
        <v>46312.46113171296</v>
      </c>
      <c r="Q112" s="17">
        <f t="shared" ca="1" si="8"/>
        <v>3</v>
      </c>
      <c r="R112" s="7">
        <f t="shared" ca="1" si="9"/>
        <v>46</v>
      </c>
      <c r="S112" s="15">
        <f t="shared" si="10"/>
        <v>45565</v>
      </c>
      <c r="T112" s="7" t="str">
        <f t="shared" si="11"/>
        <v>Elect-Head-P003</v>
      </c>
    </row>
    <row r="113" spans="1:20">
      <c r="A113" s="12" t="s">
        <v>254</v>
      </c>
      <c r="B113" s="13">
        <v>45551</v>
      </c>
      <c r="C113" s="12" t="s">
        <v>71</v>
      </c>
      <c r="D113" s="12" t="s">
        <v>72</v>
      </c>
      <c r="E113" s="12" t="s">
        <v>23</v>
      </c>
      <c r="F113" s="12" t="s">
        <v>24</v>
      </c>
      <c r="G113" s="12" t="s">
        <v>25</v>
      </c>
      <c r="H113" s="12">
        <v>2</v>
      </c>
      <c r="I113" s="14">
        <v>249.99</v>
      </c>
      <c r="J113" s="12" t="s">
        <v>40</v>
      </c>
      <c r="K113" s="12" t="s">
        <v>41</v>
      </c>
      <c r="L113" s="12" t="s">
        <v>28</v>
      </c>
      <c r="M113" s="13">
        <v>44993</v>
      </c>
      <c r="N113" s="14">
        <v>499.98</v>
      </c>
      <c r="O113" s="15">
        <f t="shared" ca="1" si="6"/>
        <v>46312</v>
      </c>
      <c r="P113" s="16">
        <f t="shared" ca="1" si="7"/>
        <v>46312.46113171296</v>
      </c>
      <c r="Q113" s="17">
        <f t="shared" ca="1" si="8"/>
        <v>3</v>
      </c>
      <c r="R113" s="7">
        <f t="shared" ca="1" si="9"/>
        <v>43</v>
      </c>
      <c r="S113" s="15">
        <f t="shared" si="10"/>
        <v>45565</v>
      </c>
      <c r="T113" s="7" t="str">
        <f t="shared" si="11"/>
        <v>Elect-Moni-P009</v>
      </c>
    </row>
    <row r="114" spans="1:20">
      <c r="A114" s="12" t="s">
        <v>255</v>
      </c>
      <c r="B114" s="13">
        <v>45551</v>
      </c>
      <c r="C114" s="12" t="s">
        <v>160</v>
      </c>
      <c r="D114" s="12" t="s">
        <v>161</v>
      </c>
      <c r="E114" s="12" t="s">
        <v>132</v>
      </c>
      <c r="F114" s="12" t="s">
        <v>133</v>
      </c>
      <c r="G114" s="12" t="s">
        <v>52</v>
      </c>
      <c r="H114" s="12">
        <v>4</v>
      </c>
      <c r="I114" s="14">
        <v>199.99</v>
      </c>
      <c r="J114" s="12" t="s">
        <v>63</v>
      </c>
      <c r="K114" s="12" t="s">
        <v>69</v>
      </c>
      <c r="L114" s="12" t="s">
        <v>28</v>
      </c>
      <c r="M114" s="13">
        <v>44458</v>
      </c>
      <c r="N114" s="14">
        <v>799.96</v>
      </c>
      <c r="O114" s="15">
        <f t="shared" ca="1" si="6"/>
        <v>46312</v>
      </c>
      <c r="P114" s="16">
        <f t="shared" ca="1" si="7"/>
        <v>46312.46113171296</v>
      </c>
      <c r="Q114" s="17">
        <f t="shared" ca="1" si="8"/>
        <v>5</v>
      </c>
      <c r="R114" s="7">
        <f t="shared" ca="1" si="9"/>
        <v>60</v>
      </c>
      <c r="S114" s="15">
        <f t="shared" si="10"/>
        <v>45565</v>
      </c>
      <c r="T114" s="7" t="str">
        <f t="shared" si="11"/>
        <v>Furni-Offi-P006</v>
      </c>
    </row>
    <row r="115" spans="1:20">
      <c r="A115" s="12" t="s">
        <v>256</v>
      </c>
      <c r="B115" s="13">
        <v>45554</v>
      </c>
      <c r="C115" s="12" t="s">
        <v>153</v>
      </c>
      <c r="D115" s="12" t="s">
        <v>154</v>
      </c>
      <c r="E115" s="12" t="s">
        <v>123</v>
      </c>
      <c r="F115" s="12" t="s">
        <v>124</v>
      </c>
      <c r="G115" s="12" t="s">
        <v>25</v>
      </c>
      <c r="H115" s="12">
        <v>5</v>
      </c>
      <c r="I115" s="14">
        <v>89.99</v>
      </c>
      <c r="J115" s="12" t="s">
        <v>32</v>
      </c>
      <c r="K115" s="12" t="s">
        <v>69</v>
      </c>
      <c r="L115" s="12" t="s">
        <v>33</v>
      </c>
      <c r="M115" s="13">
        <v>44446</v>
      </c>
      <c r="N115" s="14">
        <v>449.95</v>
      </c>
      <c r="O115" s="15">
        <f t="shared" ca="1" si="6"/>
        <v>46312</v>
      </c>
      <c r="P115" s="16">
        <f t="shared" ca="1" si="7"/>
        <v>46312.46113171296</v>
      </c>
      <c r="Q115" s="17">
        <f t="shared" ca="1" si="8"/>
        <v>5</v>
      </c>
      <c r="R115" s="7">
        <f t="shared" ca="1" si="9"/>
        <v>61</v>
      </c>
      <c r="S115" s="15">
        <f t="shared" si="10"/>
        <v>45565</v>
      </c>
      <c r="T115" s="7" t="str">
        <f t="shared" si="11"/>
        <v>Elect-Keyb-P010</v>
      </c>
    </row>
    <row r="116" spans="1:20">
      <c r="A116" s="12" t="s">
        <v>257</v>
      </c>
      <c r="B116" s="13">
        <v>45554</v>
      </c>
      <c r="C116" s="12" t="s">
        <v>258</v>
      </c>
      <c r="D116" s="12" t="s">
        <v>259</v>
      </c>
      <c r="E116" s="12" t="s">
        <v>58</v>
      </c>
      <c r="F116" s="12" t="s">
        <v>59</v>
      </c>
      <c r="G116" s="12" t="s">
        <v>25</v>
      </c>
      <c r="H116" s="12">
        <v>1</v>
      </c>
      <c r="I116" s="14">
        <v>149.99</v>
      </c>
      <c r="J116" s="12" t="s">
        <v>40</v>
      </c>
      <c r="K116" s="12" t="s">
        <v>69</v>
      </c>
      <c r="L116" s="12" t="s">
        <v>42</v>
      </c>
      <c r="M116" s="13">
        <v>44482</v>
      </c>
      <c r="N116" s="14">
        <v>149.99</v>
      </c>
      <c r="O116" s="15">
        <f t="shared" ca="1" si="6"/>
        <v>46312</v>
      </c>
      <c r="P116" s="16">
        <f t="shared" ca="1" si="7"/>
        <v>46312.46113171296</v>
      </c>
      <c r="Q116" s="17">
        <f t="shared" ca="1" si="8"/>
        <v>5</v>
      </c>
      <c r="R116" s="7">
        <f t="shared" ca="1" si="9"/>
        <v>60</v>
      </c>
      <c r="S116" s="15">
        <f t="shared" si="10"/>
        <v>45565</v>
      </c>
      <c r="T116" s="7" t="str">
        <f t="shared" si="11"/>
        <v>Elect-Head-P003</v>
      </c>
    </row>
    <row r="117" spans="1:20">
      <c r="A117" s="12" t="s">
        <v>260</v>
      </c>
      <c r="B117" s="13">
        <v>45554</v>
      </c>
      <c r="C117" s="12" t="s">
        <v>78</v>
      </c>
      <c r="D117" s="12" t="s">
        <v>79</v>
      </c>
      <c r="E117" s="12" t="s">
        <v>86</v>
      </c>
      <c r="F117" s="12" t="s">
        <v>87</v>
      </c>
      <c r="G117" s="12" t="s">
        <v>25</v>
      </c>
      <c r="H117" s="12">
        <v>4</v>
      </c>
      <c r="I117" s="14">
        <v>699.99</v>
      </c>
      <c r="J117" s="12" t="s">
        <v>40</v>
      </c>
      <c r="K117" s="12" t="s">
        <v>41</v>
      </c>
      <c r="L117" s="12" t="s">
        <v>28</v>
      </c>
      <c r="M117" s="13">
        <v>44618</v>
      </c>
      <c r="N117" s="14">
        <v>2799.96</v>
      </c>
      <c r="O117" s="15">
        <f t="shared" ca="1" si="6"/>
        <v>46312</v>
      </c>
      <c r="P117" s="16">
        <f t="shared" ca="1" si="7"/>
        <v>46312.46113171296</v>
      </c>
      <c r="Q117" s="17">
        <f t="shared" ca="1" si="8"/>
        <v>4</v>
      </c>
      <c r="R117" s="7">
        <f t="shared" ca="1" si="9"/>
        <v>55</v>
      </c>
      <c r="S117" s="15">
        <f t="shared" si="10"/>
        <v>45565</v>
      </c>
      <c r="T117" s="7" t="str">
        <f t="shared" si="11"/>
        <v>Elect-Smar-P002</v>
      </c>
    </row>
    <row r="118" spans="1:20">
      <c r="A118" s="12" t="s">
        <v>261</v>
      </c>
      <c r="B118" s="13">
        <v>45559</v>
      </c>
      <c r="C118" s="12" t="s">
        <v>240</v>
      </c>
      <c r="D118" s="12" t="s">
        <v>241</v>
      </c>
      <c r="E118" s="12" t="s">
        <v>67</v>
      </c>
      <c r="F118" s="12" t="s">
        <v>68</v>
      </c>
      <c r="G118" s="12" t="s">
        <v>25</v>
      </c>
      <c r="H118" s="12">
        <v>3</v>
      </c>
      <c r="I118" s="14">
        <v>899.99</v>
      </c>
      <c r="J118" s="12" t="s">
        <v>32</v>
      </c>
      <c r="K118" s="12" t="s">
        <v>46</v>
      </c>
      <c r="L118" s="12" t="s">
        <v>42</v>
      </c>
      <c r="M118" s="13">
        <v>45157</v>
      </c>
      <c r="N118" s="14">
        <v>2699.97</v>
      </c>
      <c r="O118" s="15">
        <f t="shared" ca="1" si="6"/>
        <v>46312</v>
      </c>
      <c r="P118" s="16">
        <f t="shared" ca="1" si="7"/>
        <v>46312.46113171296</v>
      </c>
      <c r="Q118" s="17">
        <f t="shared" ca="1" si="8"/>
        <v>3</v>
      </c>
      <c r="R118" s="7">
        <f t="shared" ca="1" si="9"/>
        <v>37</v>
      </c>
      <c r="S118" s="15">
        <f t="shared" si="10"/>
        <v>45565</v>
      </c>
      <c r="T118" s="7" t="str">
        <f t="shared" si="11"/>
        <v>Elect-Lapt-P001</v>
      </c>
    </row>
    <row r="119" spans="1:20">
      <c r="A119" s="12" t="s">
        <v>262</v>
      </c>
      <c r="B119" s="13">
        <v>45560</v>
      </c>
      <c r="C119" s="12" t="s">
        <v>118</v>
      </c>
      <c r="D119" s="12" t="s">
        <v>119</v>
      </c>
      <c r="E119" s="12" t="s">
        <v>50</v>
      </c>
      <c r="F119" s="12" t="s">
        <v>51</v>
      </c>
      <c r="G119" s="12" t="s">
        <v>52</v>
      </c>
      <c r="H119" s="12">
        <v>3</v>
      </c>
      <c r="I119" s="14">
        <v>149.99</v>
      </c>
      <c r="J119" s="12" t="s">
        <v>40</v>
      </c>
      <c r="K119" s="12" t="s">
        <v>69</v>
      </c>
      <c r="L119" s="12" t="s">
        <v>28</v>
      </c>
      <c r="M119" s="13">
        <v>44886</v>
      </c>
      <c r="N119" s="14">
        <v>449.97</v>
      </c>
      <c r="O119" s="15">
        <f t="shared" ca="1" si="6"/>
        <v>46312</v>
      </c>
      <c r="P119" s="16">
        <f t="shared" ca="1" si="7"/>
        <v>46312.46113171296</v>
      </c>
      <c r="Q119" s="17">
        <f t="shared" ca="1" si="8"/>
        <v>3</v>
      </c>
      <c r="R119" s="7">
        <f t="shared" ca="1" si="9"/>
        <v>46</v>
      </c>
      <c r="S119" s="15">
        <f t="shared" si="10"/>
        <v>45565</v>
      </c>
      <c r="T119" s="7" t="str">
        <f t="shared" si="11"/>
        <v>Furni-Book-P008</v>
      </c>
    </row>
    <row r="120" spans="1:20">
      <c r="A120" s="12" t="s">
        <v>263</v>
      </c>
      <c r="B120" s="13">
        <v>45563</v>
      </c>
      <c r="C120" s="12" t="s">
        <v>105</v>
      </c>
      <c r="D120" s="12" t="s">
        <v>106</v>
      </c>
      <c r="E120" s="12" t="s">
        <v>111</v>
      </c>
      <c r="F120" s="12" t="s">
        <v>112</v>
      </c>
      <c r="G120" s="12" t="s">
        <v>52</v>
      </c>
      <c r="H120" s="12">
        <v>2</v>
      </c>
      <c r="I120" s="14">
        <v>299.99</v>
      </c>
      <c r="J120" s="12" t="s">
        <v>63</v>
      </c>
      <c r="K120" s="12" t="s">
        <v>27</v>
      </c>
      <c r="L120" s="12" t="s">
        <v>28</v>
      </c>
      <c r="M120" s="13">
        <v>44569</v>
      </c>
      <c r="N120" s="14">
        <v>599.98</v>
      </c>
      <c r="O120" s="15">
        <f t="shared" ca="1" si="6"/>
        <v>46312</v>
      </c>
      <c r="P120" s="16">
        <f t="shared" ca="1" si="7"/>
        <v>46312.46113171296</v>
      </c>
      <c r="Q120" s="17">
        <f t="shared" ca="1" si="8"/>
        <v>4</v>
      </c>
      <c r="R120" s="7">
        <f t="shared" ca="1" si="9"/>
        <v>57</v>
      </c>
      <c r="S120" s="15">
        <f t="shared" si="10"/>
        <v>45565</v>
      </c>
      <c r="T120" s="7" t="str">
        <f t="shared" si="11"/>
        <v>Furni-Desk-P007</v>
      </c>
    </row>
    <row r="121" spans="1:20">
      <c r="A121" s="12" t="s">
        <v>264</v>
      </c>
      <c r="B121" s="13">
        <v>45564</v>
      </c>
      <c r="C121" s="12" t="s">
        <v>265</v>
      </c>
      <c r="D121" s="12" t="s">
        <v>266</v>
      </c>
      <c r="E121" s="12" t="s">
        <v>132</v>
      </c>
      <c r="F121" s="12" t="s">
        <v>133</v>
      </c>
      <c r="G121" s="12" t="s">
        <v>52</v>
      </c>
      <c r="H121" s="12">
        <v>1</v>
      </c>
      <c r="I121" s="14">
        <v>199.99</v>
      </c>
      <c r="J121" s="12" t="s">
        <v>63</v>
      </c>
      <c r="K121" s="12" t="s">
        <v>69</v>
      </c>
      <c r="L121" s="12" t="s">
        <v>42</v>
      </c>
      <c r="M121" s="13">
        <v>44953</v>
      </c>
      <c r="N121" s="14">
        <v>199.99</v>
      </c>
      <c r="O121" s="15">
        <f t="shared" ca="1" si="6"/>
        <v>46312</v>
      </c>
      <c r="P121" s="16">
        <f t="shared" ca="1" si="7"/>
        <v>46312.46113171296</v>
      </c>
      <c r="Q121" s="17">
        <f t="shared" ca="1" si="8"/>
        <v>3</v>
      </c>
      <c r="R121" s="7">
        <f t="shared" ca="1" si="9"/>
        <v>44</v>
      </c>
      <c r="S121" s="15">
        <f t="shared" si="10"/>
        <v>45565</v>
      </c>
      <c r="T121" s="7" t="str">
        <f t="shared" si="11"/>
        <v>Furni-Offi-P006</v>
      </c>
    </row>
    <row r="122" spans="1:20">
      <c r="A122" s="12" t="s">
        <v>267</v>
      </c>
      <c r="B122" s="13">
        <v>45566</v>
      </c>
      <c r="C122" s="12" t="s">
        <v>48</v>
      </c>
      <c r="D122" s="12" t="s">
        <v>49</v>
      </c>
      <c r="E122" s="12" t="s">
        <v>111</v>
      </c>
      <c r="F122" s="12" t="s">
        <v>112</v>
      </c>
      <c r="G122" s="12" t="s">
        <v>52</v>
      </c>
      <c r="H122" s="12">
        <v>4</v>
      </c>
      <c r="I122" s="14">
        <v>299.99</v>
      </c>
      <c r="J122" s="12" t="s">
        <v>26</v>
      </c>
      <c r="K122" s="12" t="s">
        <v>27</v>
      </c>
      <c r="L122" s="12" t="s">
        <v>33</v>
      </c>
      <c r="M122" s="13">
        <v>44460</v>
      </c>
      <c r="N122" s="14">
        <v>1199.96</v>
      </c>
      <c r="O122" s="15">
        <f t="shared" ca="1" si="6"/>
        <v>46312</v>
      </c>
      <c r="P122" s="16">
        <f t="shared" ca="1" si="7"/>
        <v>46312.46113171296</v>
      </c>
      <c r="Q122" s="17">
        <f t="shared" ca="1" si="8"/>
        <v>5</v>
      </c>
      <c r="R122" s="7">
        <f t="shared" ca="1" si="9"/>
        <v>60</v>
      </c>
      <c r="S122" s="15">
        <f t="shared" si="10"/>
        <v>45596</v>
      </c>
      <c r="T122" s="7" t="str">
        <f t="shared" si="11"/>
        <v>Furni-Desk-P007</v>
      </c>
    </row>
    <row r="123" spans="1:20">
      <c r="A123" s="12" t="s">
        <v>268</v>
      </c>
      <c r="B123" s="13">
        <v>45572</v>
      </c>
      <c r="C123" s="12" t="s">
        <v>95</v>
      </c>
      <c r="D123" s="12" t="s">
        <v>96</v>
      </c>
      <c r="E123" s="12" t="s">
        <v>37</v>
      </c>
      <c r="F123" s="12" t="s">
        <v>38</v>
      </c>
      <c r="G123" s="12" t="s">
        <v>39</v>
      </c>
      <c r="H123" s="12">
        <v>2</v>
      </c>
      <c r="I123" s="14">
        <v>59.99</v>
      </c>
      <c r="J123" s="12" t="s">
        <v>32</v>
      </c>
      <c r="K123" s="12" t="s">
        <v>27</v>
      </c>
      <c r="L123" s="12" t="s">
        <v>28</v>
      </c>
      <c r="M123" s="13">
        <v>44579</v>
      </c>
      <c r="N123" s="14">
        <v>119.98</v>
      </c>
      <c r="O123" s="15">
        <f t="shared" ca="1" si="6"/>
        <v>46312</v>
      </c>
      <c r="P123" s="16">
        <f t="shared" ca="1" si="7"/>
        <v>46312.46113171296</v>
      </c>
      <c r="Q123" s="17">
        <f t="shared" ca="1" si="8"/>
        <v>4</v>
      </c>
      <c r="R123" s="7">
        <f t="shared" ca="1" si="9"/>
        <v>56</v>
      </c>
      <c r="S123" s="15">
        <f t="shared" si="10"/>
        <v>45596</v>
      </c>
      <c r="T123" s="7" t="str">
        <f t="shared" si="11"/>
        <v>Appli-Blen-P005</v>
      </c>
    </row>
    <row r="124" spans="1:20">
      <c r="A124" s="12" t="s">
        <v>269</v>
      </c>
      <c r="B124" s="13">
        <v>45572</v>
      </c>
      <c r="C124" s="12" t="s">
        <v>240</v>
      </c>
      <c r="D124" s="12" t="s">
        <v>241</v>
      </c>
      <c r="E124" s="12" t="s">
        <v>58</v>
      </c>
      <c r="F124" s="12" t="s">
        <v>59</v>
      </c>
      <c r="G124" s="12" t="s">
        <v>25</v>
      </c>
      <c r="H124" s="12">
        <v>4</v>
      </c>
      <c r="I124" s="14">
        <v>149.99</v>
      </c>
      <c r="J124" s="12" t="s">
        <v>32</v>
      </c>
      <c r="K124" s="12" t="s">
        <v>46</v>
      </c>
      <c r="L124" s="12" t="s">
        <v>33</v>
      </c>
      <c r="M124" s="13">
        <v>45076</v>
      </c>
      <c r="N124" s="14">
        <v>599.96</v>
      </c>
      <c r="O124" s="15">
        <f t="shared" ca="1" si="6"/>
        <v>46312</v>
      </c>
      <c r="P124" s="16">
        <f t="shared" ca="1" si="7"/>
        <v>46312.46113171296</v>
      </c>
      <c r="Q124" s="17">
        <f t="shared" ca="1" si="8"/>
        <v>3</v>
      </c>
      <c r="R124" s="7">
        <f t="shared" ca="1" si="9"/>
        <v>40</v>
      </c>
      <c r="S124" s="15">
        <f t="shared" si="10"/>
        <v>45596</v>
      </c>
      <c r="T124" s="7" t="str">
        <f t="shared" si="11"/>
        <v>Elect-Head-P003</v>
      </c>
    </row>
    <row r="125" spans="1:20">
      <c r="A125" s="12" t="s">
        <v>270</v>
      </c>
      <c r="B125" s="13">
        <v>45573</v>
      </c>
      <c r="C125" s="12" t="s">
        <v>217</v>
      </c>
      <c r="D125" s="12" t="s">
        <v>218</v>
      </c>
      <c r="E125" s="12" t="s">
        <v>86</v>
      </c>
      <c r="F125" s="12" t="s">
        <v>87</v>
      </c>
      <c r="G125" s="12" t="s">
        <v>25</v>
      </c>
      <c r="H125" s="12">
        <v>2</v>
      </c>
      <c r="I125" s="14">
        <v>699.99</v>
      </c>
      <c r="J125" s="12" t="s">
        <v>63</v>
      </c>
      <c r="K125" s="12" t="s">
        <v>69</v>
      </c>
      <c r="L125" s="12" t="s">
        <v>33</v>
      </c>
      <c r="M125" s="13">
        <v>45274</v>
      </c>
      <c r="N125" s="14">
        <v>1399.98</v>
      </c>
      <c r="O125" s="15">
        <f t="shared" ca="1" si="6"/>
        <v>46312</v>
      </c>
      <c r="P125" s="16">
        <f t="shared" ca="1" si="7"/>
        <v>46312.46113171296</v>
      </c>
      <c r="Q125" s="17">
        <f t="shared" ca="1" si="8"/>
        <v>2</v>
      </c>
      <c r="R125" s="7">
        <f t="shared" ca="1" si="9"/>
        <v>34</v>
      </c>
      <c r="S125" s="15">
        <f t="shared" si="10"/>
        <v>45596</v>
      </c>
      <c r="T125" s="7" t="str">
        <f t="shared" si="11"/>
        <v>Elect-Smar-P002</v>
      </c>
    </row>
    <row r="126" spans="1:20">
      <c r="A126" s="12" t="s">
        <v>271</v>
      </c>
      <c r="B126" s="13">
        <v>45573</v>
      </c>
      <c r="C126" s="12" t="s">
        <v>237</v>
      </c>
      <c r="D126" s="12" t="s">
        <v>238</v>
      </c>
      <c r="E126" s="12" t="s">
        <v>50</v>
      </c>
      <c r="F126" s="12" t="s">
        <v>51</v>
      </c>
      <c r="G126" s="12" t="s">
        <v>52</v>
      </c>
      <c r="H126" s="12">
        <v>3</v>
      </c>
      <c r="I126" s="14">
        <v>149.99</v>
      </c>
      <c r="J126" s="12" t="s">
        <v>32</v>
      </c>
      <c r="K126" s="12" t="s">
        <v>41</v>
      </c>
      <c r="L126" s="12" t="s">
        <v>42</v>
      </c>
      <c r="M126" s="13">
        <v>44940</v>
      </c>
      <c r="N126" s="14">
        <v>449.97</v>
      </c>
      <c r="O126" s="15">
        <f t="shared" ca="1" si="6"/>
        <v>46312</v>
      </c>
      <c r="P126" s="16">
        <f t="shared" ca="1" si="7"/>
        <v>46312.46113171296</v>
      </c>
      <c r="Q126" s="17">
        <f t="shared" ca="1" si="8"/>
        <v>3</v>
      </c>
      <c r="R126" s="7">
        <f t="shared" ca="1" si="9"/>
        <v>45</v>
      </c>
      <c r="S126" s="15">
        <f t="shared" si="10"/>
        <v>45596</v>
      </c>
      <c r="T126" s="7" t="str">
        <f t="shared" si="11"/>
        <v>Furni-Book-P008</v>
      </c>
    </row>
    <row r="127" spans="1:20">
      <c r="A127" s="12" t="s">
        <v>272</v>
      </c>
      <c r="B127" s="13">
        <v>45576</v>
      </c>
      <c r="C127" s="12" t="s">
        <v>153</v>
      </c>
      <c r="D127" s="12" t="s">
        <v>154</v>
      </c>
      <c r="E127" s="12" t="s">
        <v>111</v>
      </c>
      <c r="F127" s="12" t="s">
        <v>112</v>
      </c>
      <c r="G127" s="12" t="s">
        <v>52</v>
      </c>
      <c r="H127" s="12">
        <v>3</v>
      </c>
      <c r="I127" s="14">
        <v>299.99</v>
      </c>
      <c r="J127" s="12" t="s">
        <v>32</v>
      </c>
      <c r="K127" s="12" t="s">
        <v>27</v>
      </c>
      <c r="L127" s="12" t="s">
        <v>42</v>
      </c>
      <c r="M127" s="13">
        <v>45174</v>
      </c>
      <c r="N127" s="14">
        <v>899.97</v>
      </c>
      <c r="O127" s="15">
        <f t="shared" ca="1" si="6"/>
        <v>46312</v>
      </c>
      <c r="P127" s="16">
        <f t="shared" ca="1" si="7"/>
        <v>46312.46113171296</v>
      </c>
      <c r="Q127" s="17">
        <f t="shared" ca="1" si="8"/>
        <v>3</v>
      </c>
      <c r="R127" s="7">
        <f t="shared" ca="1" si="9"/>
        <v>37</v>
      </c>
      <c r="S127" s="15">
        <f t="shared" si="10"/>
        <v>45596</v>
      </c>
      <c r="T127" s="7" t="str">
        <f t="shared" si="11"/>
        <v>Furni-Desk-P007</v>
      </c>
    </row>
    <row r="128" spans="1:20">
      <c r="A128" s="12" t="s">
        <v>273</v>
      </c>
      <c r="B128" s="13">
        <v>45579</v>
      </c>
      <c r="C128" s="12" t="s">
        <v>89</v>
      </c>
      <c r="D128" s="12" t="s">
        <v>90</v>
      </c>
      <c r="E128" s="12" t="s">
        <v>67</v>
      </c>
      <c r="F128" s="12" t="s">
        <v>68</v>
      </c>
      <c r="G128" s="12" t="s">
        <v>25</v>
      </c>
      <c r="H128" s="12">
        <v>3</v>
      </c>
      <c r="I128" s="14">
        <v>899.99</v>
      </c>
      <c r="J128" s="12" t="s">
        <v>40</v>
      </c>
      <c r="K128" s="12" t="s">
        <v>56</v>
      </c>
      <c r="L128" s="12" t="s">
        <v>28</v>
      </c>
      <c r="M128" s="13">
        <v>45215</v>
      </c>
      <c r="N128" s="14">
        <v>2699.97</v>
      </c>
      <c r="O128" s="15">
        <f t="shared" ca="1" si="6"/>
        <v>46312</v>
      </c>
      <c r="P128" s="16">
        <f t="shared" ca="1" si="7"/>
        <v>46312.46113171296</v>
      </c>
      <c r="Q128" s="17">
        <f t="shared" ca="1" si="8"/>
        <v>3</v>
      </c>
      <c r="R128" s="7">
        <f t="shared" ca="1" si="9"/>
        <v>36</v>
      </c>
      <c r="S128" s="15">
        <f t="shared" si="10"/>
        <v>45596</v>
      </c>
      <c r="T128" s="7" t="str">
        <f t="shared" si="11"/>
        <v>Elect-Lapt-P001</v>
      </c>
    </row>
    <row r="129" spans="1:20">
      <c r="A129" s="12" t="s">
        <v>274</v>
      </c>
      <c r="B129" s="13">
        <v>45581</v>
      </c>
      <c r="C129" s="12" t="s">
        <v>102</v>
      </c>
      <c r="D129" s="12" t="s">
        <v>103</v>
      </c>
      <c r="E129" s="12" t="s">
        <v>86</v>
      </c>
      <c r="F129" s="12" t="s">
        <v>87</v>
      </c>
      <c r="G129" s="12" t="s">
        <v>25</v>
      </c>
      <c r="H129" s="12">
        <v>5</v>
      </c>
      <c r="I129" s="14">
        <v>699.99</v>
      </c>
      <c r="J129" s="12" t="s">
        <v>26</v>
      </c>
      <c r="K129" s="12" t="s">
        <v>69</v>
      </c>
      <c r="L129" s="12" t="s">
        <v>42</v>
      </c>
      <c r="M129" s="13">
        <v>45008</v>
      </c>
      <c r="N129" s="14">
        <v>3499.95</v>
      </c>
      <c r="O129" s="15">
        <f t="shared" ca="1" si="6"/>
        <v>46312</v>
      </c>
      <c r="P129" s="16">
        <f t="shared" ca="1" si="7"/>
        <v>46312.46113171296</v>
      </c>
      <c r="Q129" s="17">
        <f t="shared" ca="1" si="8"/>
        <v>3</v>
      </c>
      <c r="R129" s="7">
        <f t="shared" ca="1" si="9"/>
        <v>42</v>
      </c>
      <c r="S129" s="15">
        <f t="shared" si="10"/>
        <v>45596</v>
      </c>
      <c r="T129" s="7" t="str">
        <f t="shared" si="11"/>
        <v>Elect-Smar-P002</v>
      </c>
    </row>
    <row r="130" spans="1:20">
      <c r="A130" s="12" t="s">
        <v>275</v>
      </c>
      <c r="B130" s="13">
        <v>45581</v>
      </c>
      <c r="C130" s="12" t="s">
        <v>177</v>
      </c>
      <c r="D130" s="12" t="s">
        <v>178</v>
      </c>
      <c r="E130" s="12" t="s">
        <v>86</v>
      </c>
      <c r="F130" s="12" t="s">
        <v>87</v>
      </c>
      <c r="G130" s="12" t="s">
        <v>25</v>
      </c>
      <c r="H130" s="12">
        <v>4</v>
      </c>
      <c r="I130" s="14">
        <v>699.99</v>
      </c>
      <c r="J130" s="12" t="s">
        <v>32</v>
      </c>
      <c r="K130" s="12" t="s">
        <v>27</v>
      </c>
      <c r="L130" s="12" t="s">
        <v>28</v>
      </c>
      <c r="M130" s="13">
        <v>45385</v>
      </c>
      <c r="N130" s="14">
        <v>2799.96</v>
      </c>
      <c r="O130" s="15">
        <f t="shared" ca="1" si="6"/>
        <v>46312</v>
      </c>
      <c r="P130" s="16">
        <f t="shared" ca="1" si="7"/>
        <v>46312.46113171296</v>
      </c>
      <c r="Q130" s="17">
        <f t="shared" ca="1" si="8"/>
        <v>2</v>
      </c>
      <c r="R130" s="7">
        <f t="shared" ca="1" si="9"/>
        <v>30</v>
      </c>
      <c r="S130" s="15">
        <f t="shared" si="10"/>
        <v>45596</v>
      </c>
      <c r="T130" s="7" t="str">
        <f t="shared" si="11"/>
        <v>Elect-Smar-P002</v>
      </c>
    </row>
    <row r="131" spans="1:20">
      <c r="A131" s="12" t="s">
        <v>276</v>
      </c>
      <c r="B131" s="13">
        <v>45581</v>
      </c>
      <c r="C131" s="12" t="s">
        <v>156</v>
      </c>
      <c r="D131" s="12" t="s">
        <v>157</v>
      </c>
      <c r="E131" s="12" t="s">
        <v>67</v>
      </c>
      <c r="F131" s="12" t="s">
        <v>68</v>
      </c>
      <c r="G131" s="12" t="s">
        <v>25</v>
      </c>
      <c r="H131" s="12">
        <v>1</v>
      </c>
      <c r="I131" s="14">
        <v>899.99</v>
      </c>
      <c r="J131" s="12" t="s">
        <v>32</v>
      </c>
      <c r="K131" s="12" t="s">
        <v>69</v>
      </c>
      <c r="L131" s="12" t="s">
        <v>42</v>
      </c>
      <c r="M131" s="13">
        <v>45369</v>
      </c>
      <c r="N131" s="14">
        <v>899.99</v>
      </c>
      <c r="O131" s="15">
        <f t="shared" ref="O131:O194" ca="1" si="12">TODAY()</f>
        <v>46312</v>
      </c>
      <c r="P131" s="16">
        <f t="shared" ref="P131:P194" ca="1" si="13">NOW()</f>
        <v>46312.46113171296</v>
      </c>
      <c r="Q131" s="17">
        <f t="shared" ref="Q131:Q194" ca="1" si="14">DATEDIF(M131,TODAY(),"Y")</f>
        <v>2</v>
      </c>
      <c r="R131" s="7">
        <f t="shared" ref="R131:R194" ca="1" si="15">DATEDIF(M131,TODAY(),"M")</f>
        <v>30</v>
      </c>
      <c r="S131" s="15">
        <f t="shared" ref="S131:S194" si="16">EOMONTH(B131,0)</f>
        <v>45596</v>
      </c>
      <c r="T131" s="7" t="str">
        <f t="shared" ref="T131:T194" si="17">CONCATENATE(LEFT(G131,5),"-",LEFT(F131,4),"-",E131)</f>
        <v>Elect-Lapt-P001</v>
      </c>
    </row>
    <row r="132" spans="1:20">
      <c r="A132" s="12" t="s">
        <v>277</v>
      </c>
      <c r="B132" s="13">
        <v>45583</v>
      </c>
      <c r="C132" s="12" t="s">
        <v>232</v>
      </c>
      <c r="D132" s="12" t="s">
        <v>233</v>
      </c>
      <c r="E132" s="12" t="s">
        <v>58</v>
      </c>
      <c r="F132" s="12" t="s">
        <v>59</v>
      </c>
      <c r="G132" s="12" t="s">
        <v>25</v>
      </c>
      <c r="H132" s="12">
        <v>2</v>
      </c>
      <c r="I132" s="14">
        <v>149.99</v>
      </c>
      <c r="J132" s="12" t="s">
        <v>32</v>
      </c>
      <c r="K132" s="12" t="s">
        <v>56</v>
      </c>
      <c r="L132" s="12" t="s">
        <v>28</v>
      </c>
      <c r="M132" s="13">
        <v>44916</v>
      </c>
      <c r="N132" s="14">
        <v>299.98</v>
      </c>
      <c r="O132" s="15">
        <f t="shared" ca="1" si="12"/>
        <v>46312</v>
      </c>
      <c r="P132" s="16">
        <f t="shared" ca="1" si="13"/>
        <v>46312.46113171296</v>
      </c>
      <c r="Q132" s="17">
        <f t="shared" ca="1" si="14"/>
        <v>3</v>
      </c>
      <c r="R132" s="7">
        <f t="shared" ca="1" si="15"/>
        <v>45</v>
      </c>
      <c r="S132" s="15">
        <f t="shared" si="16"/>
        <v>45596</v>
      </c>
      <c r="T132" s="7" t="str">
        <f t="shared" si="17"/>
        <v>Elect-Head-P003</v>
      </c>
    </row>
    <row r="133" spans="1:20">
      <c r="A133" s="12" t="s">
        <v>278</v>
      </c>
      <c r="B133" s="13">
        <v>45586</v>
      </c>
      <c r="C133" s="12" t="s">
        <v>232</v>
      </c>
      <c r="D133" s="12" t="s">
        <v>233</v>
      </c>
      <c r="E133" s="12" t="s">
        <v>123</v>
      </c>
      <c r="F133" s="12" t="s">
        <v>124</v>
      </c>
      <c r="G133" s="12" t="s">
        <v>25</v>
      </c>
      <c r="H133" s="12">
        <v>3</v>
      </c>
      <c r="I133" s="14">
        <v>89.99</v>
      </c>
      <c r="J133" s="12" t="s">
        <v>40</v>
      </c>
      <c r="K133" s="12" t="s">
        <v>27</v>
      </c>
      <c r="L133" s="12" t="s">
        <v>28</v>
      </c>
      <c r="M133" s="13">
        <v>44551</v>
      </c>
      <c r="N133" s="14">
        <v>269.97000000000003</v>
      </c>
      <c r="O133" s="15">
        <f t="shared" ca="1" si="12"/>
        <v>46312</v>
      </c>
      <c r="P133" s="16">
        <f t="shared" ca="1" si="13"/>
        <v>46312.46113171296</v>
      </c>
      <c r="Q133" s="17">
        <f t="shared" ca="1" si="14"/>
        <v>4</v>
      </c>
      <c r="R133" s="7">
        <f t="shared" ca="1" si="15"/>
        <v>57</v>
      </c>
      <c r="S133" s="15">
        <f t="shared" si="16"/>
        <v>45596</v>
      </c>
      <c r="T133" s="7" t="str">
        <f t="shared" si="17"/>
        <v>Elect-Keyb-P010</v>
      </c>
    </row>
    <row r="134" spans="1:20">
      <c r="A134" s="12" t="s">
        <v>279</v>
      </c>
      <c r="B134" s="13">
        <v>45588</v>
      </c>
      <c r="C134" s="12" t="s">
        <v>44</v>
      </c>
      <c r="D134" s="12" t="s">
        <v>45</v>
      </c>
      <c r="E134" s="12" t="s">
        <v>58</v>
      </c>
      <c r="F134" s="12" t="s">
        <v>59</v>
      </c>
      <c r="G134" s="12" t="s">
        <v>25</v>
      </c>
      <c r="H134" s="12">
        <v>2</v>
      </c>
      <c r="I134" s="14">
        <v>149.99</v>
      </c>
      <c r="J134" s="12" t="s">
        <v>40</v>
      </c>
      <c r="K134" s="12" t="s">
        <v>27</v>
      </c>
      <c r="L134" s="12" t="s">
        <v>28</v>
      </c>
      <c r="M134" s="13">
        <v>44473</v>
      </c>
      <c r="N134" s="14">
        <v>299.98</v>
      </c>
      <c r="O134" s="15">
        <f t="shared" ca="1" si="12"/>
        <v>46312</v>
      </c>
      <c r="P134" s="16">
        <f t="shared" ca="1" si="13"/>
        <v>46312.46113171296</v>
      </c>
      <c r="Q134" s="17">
        <f t="shared" ca="1" si="14"/>
        <v>5</v>
      </c>
      <c r="R134" s="7">
        <f t="shared" ca="1" si="15"/>
        <v>60</v>
      </c>
      <c r="S134" s="15">
        <f t="shared" si="16"/>
        <v>45596</v>
      </c>
      <c r="T134" s="7" t="str">
        <f t="shared" si="17"/>
        <v>Elect-Head-P003</v>
      </c>
    </row>
    <row r="135" spans="1:20">
      <c r="A135" s="12" t="s">
        <v>280</v>
      </c>
      <c r="B135" s="13">
        <v>45588</v>
      </c>
      <c r="C135" s="12" t="s">
        <v>160</v>
      </c>
      <c r="D135" s="12" t="s">
        <v>161</v>
      </c>
      <c r="E135" s="12" t="s">
        <v>86</v>
      </c>
      <c r="F135" s="12" t="s">
        <v>87</v>
      </c>
      <c r="G135" s="12" t="s">
        <v>25</v>
      </c>
      <c r="H135" s="12">
        <v>2</v>
      </c>
      <c r="I135" s="14">
        <v>699.99</v>
      </c>
      <c r="J135" s="12" t="s">
        <v>26</v>
      </c>
      <c r="K135" s="12" t="s">
        <v>27</v>
      </c>
      <c r="L135" s="12" t="s">
        <v>28</v>
      </c>
      <c r="M135" s="13">
        <v>44992</v>
      </c>
      <c r="N135" s="14">
        <v>1399.98</v>
      </c>
      <c r="O135" s="15">
        <f t="shared" ca="1" si="12"/>
        <v>46312</v>
      </c>
      <c r="P135" s="16">
        <f t="shared" ca="1" si="13"/>
        <v>46312.46113171296</v>
      </c>
      <c r="Q135" s="17">
        <f t="shared" ca="1" si="14"/>
        <v>3</v>
      </c>
      <c r="R135" s="7">
        <f t="shared" ca="1" si="15"/>
        <v>43</v>
      </c>
      <c r="S135" s="15">
        <f t="shared" si="16"/>
        <v>45596</v>
      </c>
      <c r="T135" s="7" t="str">
        <f t="shared" si="17"/>
        <v>Elect-Smar-P002</v>
      </c>
    </row>
    <row r="136" spans="1:20">
      <c r="A136" s="12" t="s">
        <v>281</v>
      </c>
      <c r="B136" s="13">
        <v>45589</v>
      </c>
      <c r="C136" s="12" t="s">
        <v>164</v>
      </c>
      <c r="D136" s="12" t="s">
        <v>165</v>
      </c>
      <c r="E136" s="12" t="s">
        <v>86</v>
      </c>
      <c r="F136" s="12" t="s">
        <v>87</v>
      </c>
      <c r="G136" s="12" t="s">
        <v>25</v>
      </c>
      <c r="H136" s="12">
        <v>5</v>
      </c>
      <c r="I136" s="14">
        <v>699.99</v>
      </c>
      <c r="J136" s="12" t="s">
        <v>26</v>
      </c>
      <c r="K136" s="12" t="s">
        <v>46</v>
      </c>
      <c r="L136" s="12" t="s">
        <v>33</v>
      </c>
      <c r="M136" s="13">
        <v>44635</v>
      </c>
      <c r="N136" s="14">
        <v>3499.95</v>
      </c>
      <c r="O136" s="15">
        <f t="shared" ca="1" si="12"/>
        <v>46312</v>
      </c>
      <c r="P136" s="16">
        <f t="shared" ca="1" si="13"/>
        <v>46312.46113171296</v>
      </c>
      <c r="Q136" s="17">
        <f t="shared" ca="1" si="14"/>
        <v>4</v>
      </c>
      <c r="R136" s="7">
        <f t="shared" ca="1" si="15"/>
        <v>55</v>
      </c>
      <c r="S136" s="15">
        <f t="shared" si="16"/>
        <v>45596</v>
      </c>
      <c r="T136" s="7" t="str">
        <f t="shared" si="17"/>
        <v>Elect-Smar-P002</v>
      </c>
    </row>
    <row r="137" spans="1:20">
      <c r="A137" s="12" t="s">
        <v>282</v>
      </c>
      <c r="B137" s="13">
        <v>45592</v>
      </c>
      <c r="C137" s="12" t="s">
        <v>177</v>
      </c>
      <c r="D137" s="12" t="s">
        <v>178</v>
      </c>
      <c r="E137" s="12" t="s">
        <v>123</v>
      </c>
      <c r="F137" s="12" t="s">
        <v>124</v>
      </c>
      <c r="G137" s="12" t="s">
        <v>25</v>
      </c>
      <c r="H137" s="12">
        <v>3</v>
      </c>
      <c r="I137" s="14">
        <v>89.99</v>
      </c>
      <c r="J137" s="12" t="s">
        <v>32</v>
      </c>
      <c r="K137" s="12" t="s">
        <v>46</v>
      </c>
      <c r="L137" s="12" t="s">
        <v>42</v>
      </c>
      <c r="M137" s="13">
        <v>44615</v>
      </c>
      <c r="N137" s="14">
        <v>269.97000000000003</v>
      </c>
      <c r="O137" s="15">
        <f t="shared" ca="1" si="12"/>
        <v>46312</v>
      </c>
      <c r="P137" s="16">
        <f t="shared" ca="1" si="13"/>
        <v>46312.46113171296</v>
      </c>
      <c r="Q137" s="17">
        <f t="shared" ca="1" si="14"/>
        <v>4</v>
      </c>
      <c r="R137" s="7">
        <f t="shared" ca="1" si="15"/>
        <v>55</v>
      </c>
      <c r="S137" s="15">
        <f t="shared" si="16"/>
        <v>45596</v>
      </c>
      <c r="T137" s="7" t="str">
        <f t="shared" si="17"/>
        <v>Elect-Keyb-P010</v>
      </c>
    </row>
    <row r="138" spans="1:20">
      <c r="A138" s="12" t="s">
        <v>283</v>
      </c>
      <c r="B138" s="13">
        <v>45597</v>
      </c>
      <c r="C138" s="12" t="s">
        <v>21</v>
      </c>
      <c r="D138" s="12" t="s">
        <v>22</v>
      </c>
      <c r="E138" s="12" t="s">
        <v>23</v>
      </c>
      <c r="F138" s="12" t="s">
        <v>24</v>
      </c>
      <c r="G138" s="12" t="s">
        <v>25</v>
      </c>
      <c r="H138" s="12">
        <v>5</v>
      </c>
      <c r="I138" s="14">
        <v>249.99</v>
      </c>
      <c r="J138" s="12" t="s">
        <v>32</v>
      </c>
      <c r="K138" s="12" t="s">
        <v>41</v>
      </c>
      <c r="L138" s="12" t="s">
        <v>42</v>
      </c>
      <c r="M138" s="13">
        <v>44881</v>
      </c>
      <c r="N138" s="14">
        <v>1249.95</v>
      </c>
      <c r="O138" s="15">
        <f t="shared" ca="1" si="12"/>
        <v>46312</v>
      </c>
      <c r="P138" s="16">
        <f t="shared" ca="1" si="13"/>
        <v>46312.46113171296</v>
      </c>
      <c r="Q138" s="17">
        <f t="shared" ca="1" si="14"/>
        <v>3</v>
      </c>
      <c r="R138" s="7">
        <f t="shared" ca="1" si="15"/>
        <v>47</v>
      </c>
      <c r="S138" s="15">
        <f t="shared" si="16"/>
        <v>45626</v>
      </c>
      <c r="T138" s="7" t="str">
        <f t="shared" si="17"/>
        <v>Elect-Moni-P009</v>
      </c>
    </row>
    <row r="139" spans="1:20">
      <c r="A139" s="12" t="s">
        <v>284</v>
      </c>
      <c r="B139" s="13">
        <v>45600</v>
      </c>
      <c r="C139" s="12" t="s">
        <v>71</v>
      </c>
      <c r="D139" s="12" t="s">
        <v>72</v>
      </c>
      <c r="E139" s="12" t="s">
        <v>111</v>
      </c>
      <c r="F139" s="12" t="s">
        <v>112</v>
      </c>
      <c r="G139" s="12" t="s">
        <v>52</v>
      </c>
      <c r="H139" s="12">
        <v>3</v>
      </c>
      <c r="I139" s="14">
        <v>299.99</v>
      </c>
      <c r="J139" s="12" t="s">
        <v>32</v>
      </c>
      <c r="K139" s="12" t="s">
        <v>41</v>
      </c>
      <c r="L139" s="12" t="s">
        <v>42</v>
      </c>
      <c r="M139" s="13">
        <v>44502</v>
      </c>
      <c r="N139" s="14">
        <v>899.97</v>
      </c>
      <c r="O139" s="15">
        <f t="shared" ca="1" si="12"/>
        <v>46312</v>
      </c>
      <c r="P139" s="16">
        <f t="shared" ca="1" si="13"/>
        <v>46312.46113171296</v>
      </c>
      <c r="Q139" s="17">
        <f t="shared" ca="1" si="14"/>
        <v>4</v>
      </c>
      <c r="R139" s="7">
        <f t="shared" ca="1" si="15"/>
        <v>59</v>
      </c>
      <c r="S139" s="15">
        <f t="shared" si="16"/>
        <v>45626</v>
      </c>
      <c r="T139" s="7" t="str">
        <f t="shared" si="17"/>
        <v>Furni-Desk-P007</v>
      </c>
    </row>
    <row r="140" spans="1:20">
      <c r="A140" s="12" t="s">
        <v>285</v>
      </c>
      <c r="B140" s="13">
        <v>45603</v>
      </c>
      <c r="C140" s="12" t="s">
        <v>105</v>
      </c>
      <c r="D140" s="12" t="s">
        <v>106</v>
      </c>
      <c r="E140" s="12" t="s">
        <v>123</v>
      </c>
      <c r="F140" s="12" t="s">
        <v>124</v>
      </c>
      <c r="G140" s="12" t="s">
        <v>25</v>
      </c>
      <c r="H140" s="12">
        <v>3</v>
      </c>
      <c r="I140" s="14">
        <v>89.99</v>
      </c>
      <c r="J140" s="12" t="s">
        <v>32</v>
      </c>
      <c r="K140" s="12" t="s">
        <v>46</v>
      </c>
      <c r="L140" s="12" t="s">
        <v>33</v>
      </c>
      <c r="M140" s="13">
        <v>44420</v>
      </c>
      <c r="N140" s="14">
        <v>269.97000000000003</v>
      </c>
      <c r="O140" s="15">
        <f t="shared" ca="1" si="12"/>
        <v>46312</v>
      </c>
      <c r="P140" s="16">
        <f t="shared" ca="1" si="13"/>
        <v>46312.46113171296</v>
      </c>
      <c r="Q140" s="17">
        <f t="shared" ca="1" si="14"/>
        <v>5</v>
      </c>
      <c r="R140" s="7">
        <f t="shared" ca="1" si="15"/>
        <v>62</v>
      </c>
      <c r="S140" s="15">
        <f t="shared" si="16"/>
        <v>45626</v>
      </c>
      <c r="T140" s="7" t="str">
        <f t="shared" si="17"/>
        <v>Elect-Keyb-P010</v>
      </c>
    </row>
    <row r="141" spans="1:20">
      <c r="A141" s="12" t="s">
        <v>286</v>
      </c>
      <c r="B141" s="13">
        <v>45604</v>
      </c>
      <c r="C141" s="12" t="s">
        <v>95</v>
      </c>
      <c r="D141" s="12" t="s">
        <v>96</v>
      </c>
      <c r="E141" s="12" t="s">
        <v>50</v>
      </c>
      <c r="F141" s="12" t="s">
        <v>51</v>
      </c>
      <c r="G141" s="12" t="s">
        <v>52</v>
      </c>
      <c r="H141" s="12">
        <v>2</v>
      </c>
      <c r="I141" s="14">
        <v>149.99</v>
      </c>
      <c r="J141" s="12" t="s">
        <v>32</v>
      </c>
      <c r="K141" s="12" t="s">
        <v>56</v>
      </c>
      <c r="L141" s="12" t="s">
        <v>33</v>
      </c>
      <c r="M141" s="13">
        <v>44848</v>
      </c>
      <c r="N141" s="14">
        <v>299.98</v>
      </c>
      <c r="O141" s="15">
        <f t="shared" ca="1" si="12"/>
        <v>46312</v>
      </c>
      <c r="P141" s="16">
        <f t="shared" ca="1" si="13"/>
        <v>46312.46113171296</v>
      </c>
      <c r="Q141" s="17">
        <f t="shared" ca="1" si="14"/>
        <v>4</v>
      </c>
      <c r="R141" s="7">
        <f t="shared" ca="1" si="15"/>
        <v>48</v>
      </c>
      <c r="S141" s="15">
        <f t="shared" si="16"/>
        <v>45626</v>
      </c>
      <c r="T141" s="7" t="str">
        <f t="shared" si="17"/>
        <v>Furni-Book-P008</v>
      </c>
    </row>
    <row r="142" spans="1:20">
      <c r="A142" s="12" t="s">
        <v>287</v>
      </c>
      <c r="B142" s="13">
        <v>45605</v>
      </c>
      <c r="C142" s="12" t="s">
        <v>191</v>
      </c>
      <c r="D142" s="12" t="s">
        <v>192</v>
      </c>
      <c r="E142" s="12" t="s">
        <v>23</v>
      </c>
      <c r="F142" s="12" t="s">
        <v>24</v>
      </c>
      <c r="G142" s="12" t="s">
        <v>25</v>
      </c>
      <c r="H142" s="12">
        <v>1</v>
      </c>
      <c r="I142" s="14">
        <v>249.99</v>
      </c>
      <c r="J142" s="12" t="s">
        <v>32</v>
      </c>
      <c r="K142" s="12" t="s">
        <v>46</v>
      </c>
      <c r="L142" s="12" t="s">
        <v>33</v>
      </c>
      <c r="M142" s="13">
        <v>44828</v>
      </c>
      <c r="N142" s="14">
        <v>249.99</v>
      </c>
      <c r="O142" s="15">
        <f t="shared" ca="1" si="12"/>
        <v>46312</v>
      </c>
      <c r="P142" s="16">
        <f t="shared" ca="1" si="13"/>
        <v>46312.46113171296</v>
      </c>
      <c r="Q142" s="17">
        <f t="shared" ca="1" si="14"/>
        <v>4</v>
      </c>
      <c r="R142" s="7">
        <f t="shared" ca="1" si="15"/>
        <v>48</v>
      </c>
      <c r="S142" s="15">
        <f t="shared" si="16"/>
        <v>45626</v>
      </c>
      <c r="T142" s="7" t="str">
        <f t="shared" si="17"/>
        <v>Elect-Moni-P009</v>
      </c>
    </row>
    <row r="143" spans="1:20">
      <c r="A143" s="12" t="s">
        <v>288</v>
      </c>
      <c r="B143" s="13">
        <v>45607</v>
      </c>
      <c r="C143" s="12" t="s">
        <v>78</v>
      </c>
      <c r="D143" s="12" t="s">
        <v>79</v>
      </c>
      <c r="E143" s="12" t="s">
        <v>58</v>
      </c>
      <c r="F143" s="12" t="s">
        <v>59</v>
      </c>
      <c r="G143" s="12" t="s">
        <v>25</v>
      </c>
      <c r="H143" s="12">
        <v>3</v>
      </c>
      <c r="I143" s="14">
        <v>149.99</v>
      </c>
      <c r="J143" s="12" t="s">
        <v>26</v>
      </c>
      <c r="K143" s="12" t="s">
        <v>46</v>
      </c>
      <c r="L143" s="12" t="s">
        <v>28</v>
      </c>
      <c r="M143" s="13">
        <v>44769</v>
      </c>
      <c r="N143" s="14">
        <v>449.97</v>
      </c>
      <c r="O143" s="15">
        <f t="shared" ca="1" si="12"/>
        <v>46312</v>
      </c>
      <c r="P143" s="16">
        <f t="shared" ca="1" si="13"/>
        <v>46312.46113171296</v>
      </c>
      <c r="Q143" s="17">
        <f t="shared" ca="1" si="14"/>
        <v>4</v>
      </c>
      <c r="R143" s="7">
        <f t="shared" ca="1" si="15"/>
        <v>50</v>
      </c>
      <c r="S143" s="15">
        <f t="shared" si="16"/>
        <v>45626</v>
      </c>
      <c r="T143" s="7" t="str">
        <f t="shared" si="17"/>
        <v>Elect-Head-P003</v>
      </c>
    </row>
    <row r="144" spans="1:20">
      <c r="A144" s="12" t="s">
        <v>289</v>
      </c>
      <c r="B144" s="13">
        <v>45607</v>
      </c>
      <c r="C144" s="12" t="s">
        <v>21</v>
      </c>
      <c r="D144" s="12" t="s">
        <v>22</v>
      </c>
      <c r="E144" s="12" t="s">
        <v>37</v>
      </c>
      <c r="F144" s="12" t="s">
        <v>38</v>
      </c>
      <c r="G144" s="12" t="s">
        <v>39</v>
      </c>
      <c r="H144" s="12">
        <v>5</v>
      </c>
      <c r="I144" s="14">
        <v>59.99</v>
      </c>
      <c r="J144" s="12" t="s">
        <v>40</v>
      </c>
      <c r="K144" s="12" t="s">
        <v>56</v>
      </c>
      <c r="L144" s="12" t="s">
        <v>33</v>
      </c>
      <c r="M144" s="13">
        <v>44694</v>
      </c>
      <c r="N144" s="14">
        <v>299.95</v>
      </c>
      <c r="O144" s="15">
        <f t="shared" ca="1" si="12"/>
        <v>46312</v>
      </c>
      <c r="P144" s="16">
        <f t="shared" ca="1" si="13"/>
        <v>46312.46113171296</v>
      </c>
      <c r="Q144" s="17">
        <f t="shared" ca="1" si="14"/>
        <v>4</v>
      </c>
      <c r="R144" s="7">
        <f t="shared" ca="1" si="15"/>
        <v>53</v>
      </c>
      <c r="S144" s="15">
        <f t="shared" si="16"/>
        <v>45626</v>
      </c>
      <c r="T144" s="7" t="str">
        <f t="shared" si="17"/>
        <v>Appli-Blen-P005</v>
      </c>
    </row>
    <row r="145" spans="1:20">
      <c r="A145" s="12" t="s">
        <v>290</v>
      </c>
      <c r="B145" s="13">
        <v>45607</v>
      </c>
      <c r="C145" s="12" t="s">
        <v>105</v>
      </c>
      <c r="D145" s="12" t="s">
        <v>106</v>
      </c>
      <c r="E145" s="12" t="s">
        <v>23</v>
      </c>
      <c r="F145" s="12" t="s">
        <v>24</v>
      </c>
      <c r="G145" s="12" t="s">
        <v>25</v>
      </c>
      <c r="H145" s="12">
        <v>4</v>
      </c>
      <c r="I145" s="14">
        <v>249.99</v>
      </c>
      <c r="J145" s="12" t="s">
        <v>32</v>
      </c>
      <c r="K145" s="12" t="s">
        <v>56</v>
      </c>
      <c r="L145" s="12" t="s">
        <v>42</v>
      </c>
      <c r="M145" s="13">
        <v>44659</v>
      </c>
      <c r="N145" s="14">
        <v>999.96</v>
      </c>
      <c r="O145" s="15">
        <f t="shared" ca="1" si="12"/>
        <v>46312</v>
      </c>
      <c r="P145" s="16">
        <f t="shared" ca="1" si="13"/>
        <v>46312.46113171296</v>
      </c>
      <c r="Q145" s="17">
        <f t="shared" ca="1" si="14"/>
        <v>4</v>
      </c>
      <c r="R145" s="7">
        <f t="shared" ca="1" si="15"/>
        <v>54</v>
      </c>
      <c r="S145" s="15">
        <f t="shared" si="16"/>
        <v>45626</v>
      </c>
      <c r="T145" s="7" t="str">
        <f t="shared" si="17"/>
        <v>Elect-Moni-P009</v>
      </c>
    </row>
    <row r="146" spans="1:20">
      <c r="A146" s="12" t="s">
        <v>291</v>
      </c>
      <c r="B146" s="13">
        <v>45608</v>
      </c>
      <c r="C146" s="12" t="s">
        <v>160</v>
      </c>
      <c r="D146" s="12" t="s">
        <v>161</v>
      </c>
      <c r="E146" s="12" t="s">
        <v>50</v>
      </c>
      <c r="F146" s="12" t="s">
        <v>51</v>
      </c>
      <c r="G146" s="12" t="s">
        <v>52</v>
      </c>
      <c r="H146" s="12">
        <v>5</v>
      </c>
      <c r="I146" s="14">
        <v>149.99</v>
      </c>
      <c r="J146" s="12" t="s">
        <v>40</v>
      </c>
      <c r="K146" s="12" t="s">
        <v>27</v>
      </c>
      <c r="L146" s="12" t="s">
        <v>28</v>
      </c>
      <c r="M146" s="13">
        <v>44901</v>
      </c>
      <c r="N146" s="14">
        <v>749.95</v>
      </c>
      <c r="O146" s="15">
        <f t="shared" ca="1" si="12"/>
        <v>46312</v>
      </c>
      <c r="P146" s="16">
        <f t="shared" ca="1" si="13"/>
        <v>46312.46113171296</v>
      </c>
      <c r="Q146" s="17">
        <f t="shared" ca="1" si="14"/>
        <v>3</v>
      </c>
      <c r="R146" s="7">
        <f t="shared" ca="1" si="15"/>
        <v>46</v>
      </c>
      <c r="S146" s="15">
        <f t="shared" si="16"/>
        <v>45626</v>
      </c>
      <c r="T146" s="7" t="str">
        <f t="shared" si="17"/>
        <v>Furni-Book-P008</v>
      </c>
    </row>
    <row r="147" spans="1:20">
      <c r="A147" s="12" t="s">
        <v>292</v>
      </c>
      <c r="B147" s="13">
        <v>45608</v>
      </c>
      <c r="C147" s="12" t="s">
        <v>89</v>
      </c>
      <c r="D147" s="12" t="s">
        <v>90</v>
      </c>
      <c r="E147" s="12" t="s">
        <v>37</v>
      </c>
      <c r="F147" s="12" t="s">
        <v>38</v>
      </c>
      <c r="G147" s="12" t="s">
        <v>39</v>
      </c>
      <c r="H147" s="12">
        <v>3</v>
      </c>
      <c r="I147" s="14">
        <v>59.99</v>
      </c>
      <c r="J147" s="12" t="s">
        <v>63</v>
      </c>
      <c r="K147" s="12" t="s">
        <v>41</v>
      </c>
      <c r="L147" s="12" t="s">
        <v>42</v>
      </c>
      <c r="M147" s="13">
        <v>45260</v>
      </c>
      <c r="N147" s="14">
        <v>179.97</v>
      </c>
      <c r="O147" s="15">
        <f t="shared" ca="1" si="12"/>
        <v>46312</v>
      </c>
      <c r="P147" s="16">
        <f t="shared" ca="1" si="13"/>
        <v>46312.46113171296</v>
      </c>
      <c r="Q147" s="17">
        <f t="shared" ca="1" si="14"/>
        <v>2</v>
      </c>
      <c r="R147" s="7">
        <f t="shared" ca="1" si="15"/>
        <v>34</v>
      </c>
      <c r="S147" s="15">
        <f t="shared" si="16"/>
        <v>45626</v>
      </c>
      <c r="T147" s="7" t="str">
        <f t="shared" si="17"/>
        <v>Appli-Blen-P005</v>
      </c>
    </row>
    <row r="148" spans="1:20">
      <c r="A148" s="12" t="s">
        <v>293</v>
      </c>
      <c r="B148" s="13">
        <v>45613</v>
      </c>
      <c r="C148" s="12" t="s">
        <v>240</v>
      </c>
      <c r="D148" s="12" t="s">
        <v>241</v>
      </c>
      <c r="E148" s="12" t="s">
        <v>50</v>
      </c>
      <c r="F148" s="12" t="s">
        <v>51</v>
      </c>
      <c r="G148" s="12" t="s">
        <v>52</v>
      </c>
      <c r="H148" s="12">
        <v>5</v>
      </c>
      <c r="I148" s="14">
        <v>149.99</v>
      </c>
      <c r="J148" s="12" t="s">
        <v>26</v>
      </c>
      <c r="K148" s="12" t="s">
        <v>46</v>
      </c>
      <c r="L148" s="12" t="s">
        <v>28</v>
      </c>
      <c r="M148" s="13">
        <v>44869</v>
      </c>
      <c r="N148" s="14">
        <v>749.95</v>
      </c>
      <c r="O148" s="15">
        <f t="shared" ca="1" si="12"/>
        <v>46312</v>
      </c>
      <c r="P148" s="16">
        <f t="shared" ca="1" si="13"/>
        <v>46312.46113171296</v>
      </c>
      <c r="Q148" s="17">
        <f t="shared" ca="1" si="14"/>
        <v>3</v>
      </c>
      <c r="R148" s="7">
        <f t="shared" ca="1" si="15"/>
        <v>47</v>
      </c>
      <c r="S148" s="15">
        <f t="shared" si="16"/>
        <v>45626</v>
      </c>
      <c r="T148" s="7" t="str">
        <f t="shared" si="17"/>
        <v>Furni-Book-P008</v>
      </c>
    </row>
    <row r="149" spans="1:20">
      <c r="A149" s="12" t="s">
        <v>294</v>
      </c>
      <c r="B149" s="13">
        <v>45613</v>
      </c>
      <c r="C149" s="12" t="s">
        <v>92</v>
      </c>
      <c r="D149" s="12" t="s">
        <v>93</v>
      </c>
      <c r="E149" s="12" t="s">
        <v>86</v>
      </c>
      <c r="F149" s="12" t="s">
        <v>87</v>
      </c>
      <c r="G149" s="12" t="s">
        <v>25</v>
      </c>
      <c r="H149" s="12">
        <v>2</v>
      </c>
      <c r="I149" s="14">
        <v>699.99</v>
      </c>
      <c r="J149" s="12" t="s">
        <v>40</v>
      </c>
      <c r="K149" s="12" t="s">
        <v>56</v>
      </c>
      <c r="L149" s="12" t="s">
        <v>42</v>
      </c>
      <c r="M149" s="13">
        <v>44770</v>
      </c>
      <c r="N149" s="14">
        <v>1399.98</v>
      </c>
      <c r="O149" s="15">
        <f t="shared" ca="1" si="12"/>
        <v>46312</v>
      </c>
      <c r="P149" s="16">
        <f t="shared" ca="1" si="13"/>
        <v>46312.46113171296</v>
      </c>
      <c r="Q149" s="17">
        <f t="shared" ca="1" si="14"/>
        <v>4</v>
      </c>
      <c r="R149" s="7">
        <f t="shared" ca="1" si="15"/>
        <v>50</v>
      </c>
      <c r="S149" s="15">
        <f t="shared" si="16"/>
        <v>45626</v>
      </c>
      <c r="T149" s="7" t="str">
        <f t="shared" si="17"/>
        <v>Elect-Smar-P002</v>
      </c>
    </row>
    <row r="150" spans="1:20">
      <c r="A150" s="12" t="s">
        <v>295</v>
      </c>
      <c r="B150" s="13">
        <v>45617</v>
      </c>
      <c r="C150" s="12" t="s">
        <v>129</v>
      </c>
      <c r="D150" s="12" t="s">
        <v>130</v>
      </c>
      <c r="E150" s="12" t="s">
        <v>132</v>
      </c>
      <c r="F150" s="12" t="s">
        <v>133</v>
      </c>
      <c r="G150" s="12" t="s">
        <v>52</v>
      </c>
      <c r="H150" s="12">
        <v>4</v>
      </c>
      <c r="I150" s="14">
        <v>199.99</v>
      </c>
      <c r="J150" s="12" t="s">
        <v>63</v>
      </c>
      <c r="K150" s="12" t="s">
        <v>27</v>
      </c>
      <c r="L150" s="12" t="s">
        <v>33</v>
      </c>
      <c r="M150" s="13">
        <v>44427</v>
      </c>
      <c r="N150" s="14">
        <v>799.96</v>
      </c>
      <c r="O150" s="15">
        <f t="shared" ca="1" si="12"/>
        <v>46312</v>
      </c>
      <c r="P150" s="16">
        <f t="shared" ca="1" si="13"/>
        <v>46312.46113171296</v>
      </c>
      <c r="Q150" s="17">
        <f t="shared" ca="1" si="14"/>
        <v>5</v>
      </c>
      <c r="R150" s="7">
        <f t="shared" ca="1" si="15"/>
        <v>61</v>
      </c>
      <c r="S150" s="15">
        <f t="shared" si="16"/>
        <v>45626</v>
      </c>
      <c r="T150" s="7" t="str">
        <f t="shared" si="17"/>
        <v>Furni-Offi-P006</v>
      </c>
    </row>
    <row r="151" spans="1:20">
      <c r="A151" s="12" t="s">
        <v>296</v>
      </c>
      <c r="B151" s="13">
        <v>45619</v>
      </c>
      <c r="C151" s="12" t="s">
        <v>198</v>
      </c>
      <c r="D151" s="12" t="s">
        <v>199</v>
      </c>
      <c r="E151" s="12" t="s">
        <v>37</v>
      </c>
      <c r="F151" s="12" t="s">
        <v>38</v>
      </c>
      <c r="G151" s="12" t="s">
        <v>39</v>
      </c>
      <c r="H151" s="12">
        <v>1</v>
      </c>
      <c r="I151" s="14">
        <v>59.99</v>
      </c>
      <c r="J151" s="12" t="s">
        <v>63</v>
      </c>
      <c r="K151" s="12" t="s">
        <v>56</v>
      </c>
      <c r="L151" s="12" t="s">
        <v>42</v>
      </c>
      <c r="M151" s="13">
        <v>44560</v>
      </c>
      <c r="N151" s="14">
        <v>59.99</v>
      </c>
      <c r="O151" s="15">
        <f t="shared" ca="1" si="12"/>
        <v>46312</v>
      </c>
      <c r="P151" s="16">
        <f t="shared" ca="1" si="13"/>
        <v>46312.46113171296</v>
      </c>
      <c r="Q151" s="17">
        <f t="shared" ca="1" si="14"/>
        <v>4</v>
      </c>
      <c r="R151" s="7">
        <f t="shared" ca="1" si="15"/>
        <v>57</v>
      </c>
      <c r="S151" s="15">
        <f t="shared" si="16"/>
        <v>45626</v>
      </c>
      <c r="T151" s="7" t="str">
        <f t="shared" si="17"/>
        <v>Appli-Blen-P005</v>
      </c>
    </row>
    <row r="152" spans="1:20">
      <c r="A152" s="12" t="s">
        <v>297</v>
      </c>
      <c r="B152" s="13">
        <v>45619</v>
      </c>
      <c r="C152" s="12" t="s">
        <v>160</v>
      </c>
      <c r="D152" s="12" t="s">
        <v>161</v>
      </c>
      <c r="E152" s="12" t="s">
        <v>86</v>
      </c>
      <c r="F152" s="12" t="s">
        <v>87</v>
      </c>
      <c r="G152" s="12" t="s">
        <v>25</v>
      </c>
      <c r="H152" s="12">
        <v>3</v>
      </c>
      <c r="I152" s="14">
        <v>699.99</v>
      </c>
      <c r="J152" s="12" t="s">
        <v>40</v>
      </c>
      <c r="K152" s="12" t="s">
        <v>56</v>
      </c>
      <c r="L152" s="12" t="s">
        <v>42</v>
      </c>
      <c r="M152" s="13">
        <v>44583</v>
      </c>
      <c r="N152" s="14">
        <v>2099.9699999999998</v>
      </c>
      <c r="O152" s="15">
        <f t="shared" ca="1" si="12"/>
        <v>46312</v>
      </c>
      <c r="P152" s="16">
        <f t="shared" ca="1" si="13"/>
        <v>46312.46113171296</v>
      </c>
      <c r="Q152" s="17">
        <f t="shared" ca="1" si="14"/>
        <v>4</v>
      </c>
      <c r="R152" s="7">
        <f t="shared" ca="1" si="15"/>
        <v>56</v>
      </c>
      <c r="S152" s="15">
        <f t="shared" si="16"/>
        <v>45626</v>
      </c>
      <c r="T152" s="7" t="str">
        <f t="shared" si="17"/>
        <v>Elect-Smar-P002</v>
      </c>
    </row>
    <row r="153" spans="1:20">
      <c r="A153" s="12" t="s">
        <v>298</v>
      </c>
      <c r="B153" s="13">
        <v>45622</v>
      </c>
      <c r="C153" s="12" t="s">
        <v>299</v>
      </c>
      <c r="D153" s="12" t="s">
        <v>300</v>
      </c>
      <c r="E153" s="12" t="s">
        <v>23</v>
      </c>
      <c r="F153" s="12" t="s">
        <v>24</v>
      </c>
      <c r="G153" s="12" t="s">
        <v>25</v>
      </c>
      <c r="H153" s="12">
        <v>5</v>
      </c>
      <c r="I153" s="14">
        <v>249.99</v>
      </c>
      <c r="J153" s="12" t="s">
        <v>32</v>
      </c>
      <c r="K153" s="12" t="s">
        <v>46</v>
      </c>
      <c r="L153" s="12" t="s">
        <v>28</v>
      </c>
      <c r="M153" s="13">
        <v>44873</v>
      </c>
      <c r="N153" s="14">
        <v>1249.95</v>
      </c>
      <c r="O153" s="15">
        <f t="shared" ca="1" si="12"/>
        <v>46312</v>
      </c>
      <c r="P153" s="16">
        <f t="shared" ca="1" si="13"/>
        <v>46312.46113171296</v>
      </c>
      <c r="Q153" s="17">
        <f t="shared" ca="1" si="14"/>
        <v>3</v>
      </c>
      <c r="R153" s="7">
        <f t="shared" ca="1" si="15"/>
        <v>47</v>
      </c>
      <c r="S153" s="15">
        <f t="shared" si="16"/>
        <v>45626</v>
      </c>
      <c r="T153" s="7" t="str">
        <f t="shared" si="17"/>
        <v>Elect-Moni-P009</v>
      </c>
    </row>
    <row r="154" spans="1:20">
      <c r="A154" s="12" t="s">
        <v>301</v>
      </c>
      <c r="B154" s="13">
        <v>45623</v>
      </c>
      <c r="C154" s="12" t="s">
        <v>118</v>
      </c>
      <c r="D154" s="12" t="s">
        <v>119</v>
      </c>
      <c r="E154" s="12" t="s">
        <v>50</v>
      </c>
      <c r="F154" s="12" t="s">
        <v>51</v>
      </c>
      <c r="G154" s="12" t="s">
        <v>52</v>
      </c>
      <c r="H154" s="12">
        <v>2</v>
      </c>
      <c r="I154" s="14">
        <v>149.99</v>
      </c>
      <c r="J154" s="12" t="s">
        <v>26</v>
      </c>
      <c r="K154" s="12" t="s">
        <v>41</v>
      </c>
      <c r="L154" s="12" t="s">
        <v>42</v>
      </c>
      <c r="M154" s="13">
        <v>45101</v>
      </c>
      <c r="N154" s="14">
        <v>299.98</v>
      </c>
      <c r="O154" s="15">
        <f t="shared" ca="1" si="12"/>
        <v>46312</v>
      </c>
      <c r="P154" s="16">
        <f t="shared" ca="1" si="13"/>
        <v>46312.46113171296</v>
      </c>
      <c r="Q154" s="17">
        <f t="shared" ca="1" si="14"/>
        <v>3</v>
      </c>
      <c r="R154" s="7">
        <f t="shared" ca="1" si="15"/>
        <v>39</v>
      </c>
      <c r="S154" s="15">
        <f t="shared" si="16"/>
        <v>45626</v>
      </c>
      <c r="T154" s="7" t="str">
        <f t="shared" si="17"/>
        <v>Furni-Book-P008</v>
      </c>
    </row>
    <row r="155" spans="1:20">
      <c r="A155" s="12" t="s">
        <v>302</v>
      </c>
      <c r="B155" s="13">
        <v>45627</v>
      </c>
      <c r="C155" s="12" t="s">
        <v>35</v>
      </c>
      <c r="D155" s="12" t="s">
        <v>36</v>
      </c>
      <c r="E155" s="12" t="s">
        <v>111</v>
      </c>
      <c r="F155" s="12" t="s">
        <v>112</v>
      </c>
      <c r="G155" s="12" t="s">
        <v>52</v>
      </c>
      <c r="H155" s="12">
        <v>3</v>
      </c>
      <c r="I155" s="14">
        <v>299.99</v>
      </c>
      <c r="J155" s="12" t="s">
        <v>26</v>
      </c>
      <c r="K155" s="12" t="s">
        <v>41</v>
      </c>
      <c r="L155" s="12" t="s">
        <v>33</v>
      </c>
      <c r="M155" s="13">
        <v>44659</v>
      </c>
      <c r="N155" s="14">
        <v>899.97</v>
      </c>
      <c r="O155" s="15">
        <f t="shared" ca="1" si="12"/>
        <v>46312</v>
      </c>
      <c r="P155" s="16">
        <f t="shared" ca="1" si="13"/>
        <v>46312.46113171296</v>
      </c>
      <c r="Q155" s="17">
        <f t="shared" ca="1" si="14"/>
        <v>4</v>
      </c>
      <c r="R155" s="7">
        <f t="shared" ca="1" si="15"/>
        <v>54</v>
      </c>
      <c r="S155" s="15">
        <f t="shared" si="16"/>
        <v>45657</v>
      </c>
      <c r="T155" s="7" t="str">
        <f t="shared" si="17"/>
        <v>Furni-Desk-P007</v>
      </c>
    </row>
    <row r="156" spans="1:20">
      <c r="A156" s="12" t="s">
        <v>303</v>
      </c>
      <c r="B156" s="13">
        <v>45627</v>
      </c>
      <c r="C156" s="12" t="s">
        <v>61</v>
      </c>
      <c r="D156" s="12" t="s">
        <v>62</v>
      </c>
      <c r="E156" s="12" t="s">
        <v>23</v>
      </c>
      <c r="F156" s="12" t="s">
        <v>24</v>
      </c>
      <c r="G156" s="12" t="s">
        <v>25</v>
      </c>
      <c r="H156" s="12">
        <v>5</v>
      </c>
      <c r="I156" s="14">
        <v>249.99</v>
      </c>
      <c r="J156" s="12" t="s">
        <v>26</v>
      </c>
      <c r="K156" s="12" t="s">
        <v>27</v>
      </c>
      <c r="L156" s="12" t="s">
        <v>33</v>
      </c>
      <c r="M156" s="13">
        <v>44485</v>
      </c>
      <c r="N156" s="14">
        <v>1249.95</v>
      </c>
      <c r="O156" s="15">
        <f t="shared" ca="1" si="12"/>
        <v>46312</v>
      </c>
      <c r="P156" s="16">
        <f t="shared" ca="1" si="13"/>
        <v>46312.46113171296</v>
      </c>
      <c r="Q156" s="17">
        <f t="shared" ca="1" si="14"/>
        <v>5</v>
      </c>
      <c r="R156" s="7">
        <f t="shared" ca="1" si="15"/>
        <v>60</v>
      </c>
      <c r="S156" s="15">
        <f t="shared" si="16"/>
        <v>45657</v>
      </c>
      <c r="T156" s="7" t="str">
        <f t="shared" si="17"/>
        <v>Elect-Moni-P009</v>
      </c>
    </row>
    <row r="157" spans="1:20">
      <c r="A157" s="12" t="s">
        <v>304</v>
      </c>
      <c r="B157" s="13">
        <v>45627</v>
      </c>
      <c r="C157" s="12" t="s">
        <v>30</v>
      </c>
      <c r="D157" s="12" t="s">
        <v>31</v>
      </c>
      <c r="E157" s="12" t="s">
        <v>58</v>
      </c>
      <c r="F157" s="12" t="s">
        <v>59</v>
      </c>
      <c r="G157" s="12" t="s">
        <v>25</v>
      </c>
      <c r="H157" s="12">
        <v>2</v>
      </c>
      <c r="I157" s="14">
        <v>149.99</v>
      </c>
      <c r="J157" s="12" t="s">
        <v>26</v>
      </c>
      <c r="K157" s="12" t="s">
        <v>41</v>
      </c>
      <c r="L157" s="12" t="s">
        <v>33</v>
      </c>
      <c r="M157" s="13">
        <v>44475</v>
      </c>
      <c r="N157" s="14">
        <v>299.98</v>
      </c>
      <c r="O157" s="15">
        <f t="shared" ca="1" si="12"/>
        <v>46312</v>
      </c>
      <c r="P157" s="16">
        <f t="shared" ca="1" si="13"/>
        <v>46312.46113171296</v>
      </c>
      <c r="Q157" s="17">
        <f t="shared" ca="1" si="14"/>
        <v>5</v>
      </c>
      <c r="R157" s="7">
        <f t="shared" ca="1" si="15"/>
        <v>60</v>
      </c>
      <c r="S157" s="15">
        <f t="shared" si="16"/>
        <v>45657</v>
      </c>
      <c r="T157" s="7" t="str">
        <f t="shared" si="17"/>
        <v>Elect-Head-P003</v>
      </c>
    </row>
    <row r="158" spans="1:20">
      <c r="A158" s="12" t="s">
        <v>305</v>
      </c>
      <c r="B158" s="13">
        <v>45627</v>
      </c>
      <c r="C158" s="12" t="s">
        <v>92</v>
      </c>
      <c r="D158" s="12" t="s">
        <v>93</v>
      </c>
      <c r="E158" s="12" t="s">
        <v>86</v>
      </c>
      <c r="F158" s="12" t="s">
        <v>87</v>
      </c>
      <c r="G158" s="12" t="s">
        <v>25</v>
      </c>
      <c r="H158" s="12">
        <v>5</v>
      </c>
      <c r="I158" s="14">
        <v>699.99</v>
      </c>
      <c r="J158" s="12" t="s">
        <v>63</v>
      </c>
      <c r="K158" s="12" t="s">
        <v>56</v>
      </c>
      <c r="L158" s="12" t="s">
        <v>42</v>
      </c>
      <c r="M158" s="13">
        <v>44944</v>
      </c>
      <c r="N158" s="14">
        <v>3499.95</v>
      </c>
      <c r="O158" s="15">
        <f t="shared" ca="1" si="12"/>
        <v>46312</v>
      </c>
      <c r="P158" s="16">
        <f t="shared" ca="1" si="13"/>
        <v>46312.46113171296</v>
      </c>
      <c r="Q158" s="17">
        <f t="shared" ca="1" si="14"/>
        <v>3</v>
      </c>
      <c r="R158" s="7">
        <f t="shared" ca="1" si="15"/>
        <v>44</v>
      </c>
      <c r="S158" s="15">
        <f t="shared" si="16"/>
        <v>45657</v>
      </c>
      <c r="T158" s="7" t="str">
        <f t="shared" si="17"/>
        <v>Elect-Smar-P002</v>
      </c>
    </row>
    <row r="159" spans="1:20">
      <c r="A159" s="12" t="s">
        <v>306</v>
      </c>
      <c r="B159" s="13">
        <v>45629</v>
      </c>
      <c r="C159" s="12" t="s">
        <v>258</v>
      </c>
      <c r="D159" s="12" t="s">
        <v>259</v>
      </c>
      <c r="E159" s="12" t="s">
        <v>23</v>
      </c>
      <c r="F159" s="12" t="s">
        <v>24</v>
      </c>
      <c r="G159" s="12" t="s">
        <v>25</v>
      </c>
      <c r="H159" s="12">
        <v>4</v>
      </c>
      <c r="I159" s="14">
        <v>249.99</v>
      </c>
      <c r="J159" s="12" t="s">
        <v>40</v>
      </c>
      <c r="K159" s="12" t="s">
        <v>69</v>
      </c>
      <c r="L159" s="12" t="s">
        <v>33</v>
      </c>
      <c r="M159" s="13">
        <v>45098</v>
      </c>
      <c r="N159" s="14">
        <v>999.96</v>
      </c>
      <c r="O159" s="15">
        <f t="shared" ca="1" si="12"/>
        <v>46312</v>
      </c>
      <c r="P159" s="16">
        <f t="shared" ca="1" si="13"/>
        <v>46312.46113171296</v>
      </c>
      <c r="Q159" s="17">
        <f t="shared" ca="1" si="14"/>
        <v>3</v>
      </c>
      <c r="R159" s="7">
        <f t="shared" ca="1" si="15"/>
        <v>39</v>
      </c>
      <c r="S159" s="15">
        <f t="shared" si="16"/>
        <v>45657</v>
      </c>
      <c r="T159" s="7" t="str">
        <f t="shared" si="17"/>
        <v>Elect-Moni-P009</v>
      </c>
    </row>
    <row r="160" spans="1:20">
      <c r="A160" s="12" t="s">
        <v>307</v>
      </c>
      <c r="B160" s="13">
        <v>45630</v>
      </c>
      <c r="C160" s="12" t="s">
        <v>54</v>
      </c>
      <c r="D160" s="12" t="s">
        <v>55</v>
      </c>
      <c r="E160" s="12" t="s">
        <v>86</v>
      </c>
      <c r="F160" s="12" t="s">
        <v>87</v>
      </c>
      <c r="G160" s="12" t="s">
        <v>25</v>
      </c>
      <c r="H160" s="12">
        <v>4</v>
      </c>
      <c r="I160" s="14">
        <v>699.99</v>
      </c>
      <c r="J160" s="12" t="s">
        <v>32</v>
      </c>
      <c r="K160" s="12" t="s">
        <v>46</v>
      </c>
      <c r="L160" s="12" t="s">
        <v>33</v>
      </c>
      <c r="M160" s="13">
        <v>44703</v>
      </c>
      <c r="N160" s="14">
        <v>2799.96</v>
      </c>
      <c r="O160" s="15">
        <f t="shared" ca="1" si="12"/>
        <v>46312</v>
      </c>
      <c r="P160" s="16">
        <f t="shared" ca="1" si="13"/>
        <v>46312.46113171296</v>
      </c>
      <c r="Q160" s="17">
        <f t="shared" ca="1" si="14"/>
        <v>4</v>
      </c>
      <c r="R160" s="7">
        <f t="shared" ca="1" si="15"/>
        <v>52</v>
      </c>
      <c r="S160" s="15">
        <f t="shared" si="16"/>
        <v>45657</v>
      </c>
      <c r="T160" s="7" t="str">
        <f t="shared" si="17"/>
        <v>Elect-Smar-P002</v>
      </c>
    </row>
    <row r="161" spans="1:20">
      <c r="A161" s="12" t="s">
        <v>308</v>
      </c>
      <c r="B161" s="13">
        <v>45635</v>
      </c>
      <c r="C161" s="12" t="s">
        <v>114</v>
      </c>
      <c r="D161" s="12" t="s">
        <v>115</v>
      </c>
      <c r="E161" s="12" t="s">
        <v>23</v>
      </c>
      <c r="F161" s="12" t="s">
        <v>24</v>
      </c>
      <c r="G161" s="12" t="s">
        <v>25</v>
      </c>
      <c r="H161" s="12">
        <v>2</v>
      </c>
      <c r="I161" s="14">
        <v>249.99</v>
      </c>
      <c r="J161" s="12" t="s">
        <v>32</v>
      </c>
      <c r="K161" s="12" t="s">
        <v>27</v>
      </c>
      <c r="L161" s="12" t="s">
        <v>33</v>
      </c>
      <c r="M161" s="13">
        <v>44396</v>
      </c>
      <c r="N161" s="14">
        <v>499.98</v>
      </c>
      <c r="O161" s="15">
        <f t="shared" ca="1" si="12"/>
        <v>46312</v>
      </c>
      <c r="P161" s="16">
        <f t="shared" ca="1" si="13"/>
        <v>46312.46113171296</v>
      </c>
      <c r="Q161" s="17">
        <f t="shared" ca="1" si="14"/>
        <v>5</v>
      </c>
      <c r="R161" s="7">
        <f t="shared" ca="1" si="15"/>
        <v>62</v>
      </c>
      <c r="S161" s="15">
        <f t="shared" si="16"/>
        <v>45657</v>
      </c>
      <c r="T161" s="7" t="str">
        <f t="shared" si="17"/>
        <v>Elect-Moni-P009</v>
      </c>
    </row>
    <row r="162" spans="1:20">
      <c r="A162" s="12" t="s">
        <v>309</v>
      </c>
      <c r="B162" s="13">
        <v>45635</v>
      </c>
      <c r="C162" s="12" t="s">
        <v>310</v>
      </c>
      <c r="D162" s="12" t="s">
        <v>311</v>
      </c>
      <c r="E162" s="12" t="s">
        <v>37</v>
      </c>
      <c r="F162" s="12" t="s">
        <v>38</v>
      </c>
      <c r="G162" s="12" t="s">
        <v>39</v>
      </c>
      <c r="H162" s="12">
        <v>3</v>
      </c>
      <c r="I162" s="14">
        <v>59.99</v>
      </c>
      <c r="J162" s="12" t="s">
        <v>26</v>
      </c>
      <c r="K162" s="12" t="s">
        <v>27</v>
      </c>
      <c r="L162" s="12" t="s">
        <v>33</v>
      </c>
      <c r="M162" s="13">
        <v>45052</v>
      </c>
      <c r="N162" s="14">
        <v>179.97</v>
      </c>
      <c r="O162" s="15">
        <f t="shared" ca="1" si="12"/>
        <v>46312</v>
      </c>
      <c r="P162" s="16">
        <f t="shared" ca="1" si="13"/>
        <v>46312.46113171296</v>
      </c>
      <c r="Q162" s="17">
        <f t="shared" ca="1" si="14"/>
        <v>3</v>
      </c>
      <c r="R162" s="7">
        <f t="shared" ca="1" si="15"/>
        <v>41</v>
      </c>
      <c r="S162" s="15">
        <f t="shared" si="16"/>
        <v>45657</v>
      </c>
      <c r="T162" s="7" t="str">
        <f t="shared" si="17"/>
        <v>Appli-Blen-P005</v>
      </c>
    </row>
    <row r="163" spans="1:20">
      <c r="A163" s="12" t="s">
        <v>312</v>
      </c>
      <c r="B163" s="13">
        <v>45635</v>
      </c>
      <c r="C163" s="12" t="s">
        <v>147</v>
      </c>
      <c r="D163" s="12" t="s">
        <v>148</v>
      </c>
      <c r="E163" s="12" t="s">
        <v>120</v>
      </c>
      <c r="F163" s="12" t="s">
        <v>121</v>
      </c>
      <c r="G163" s="12" t="s">
        <v>39</v>
      </c>
      <c r="H163" s="12">
        <v>4</v>
      </c>
      <c r="I163" s="14">
        <v>79.989999999999995</v>
      </c>
      <c r="J163" s="12" t="s">
        <v>63</v>
      </c>
      <c r="K163" s="12" t="s">
        <v>69</v>
      </c>
      <c r="L163" s="12" t="s">
        <v>42</v>
      </c>
      <c r="M163" s="13">
        <v>44921</v>
      </c>
      <c r="N163" s="14">
        <v>319.95999999999998</v>
      </c>
      <c r="O163" s="15">
        <f t="shared" ca="1" si="12"/>
        <v>46312</v>
      </c>
      <c r="P163" s="16">
        <f t="shared" ca="1" si="13"/>
        <v>46312.46113171296</v>
      </c>
      <c r="Q163" s="17">
        <f t="shared" ca="1" si="14"/>
        <v>3</v>
      </c>
      <c r="R163" s="7">
        <f t="shared" ca="1" si="15"/>
        <v>45</v>
      </c>
      <c r="S163" s="15">
        <f t="shared" si="16"/>
        <v>45657</v>
      </c>
      <c r="T163" s="7" t="str">
        <f t="shared" si="17"/>
        <v>Appli-Coff-P004</v>
      </c>
    </row>
    <row r="164" spans="1:20">
      <c r="A164" s="12" t="s">
        <v>313</v>
      </c>
      <c r="B164" s="13">
        <v>45636</v>
      </c>
      <c r="C164" s="12" t="s">
        <v>126</v>
      </c>
      <c r="D164" s="12" t="s">
        <v>127</v>
      </c>
      <c r="E164" s="12" t="s">
        <v>120</v>
      </c>
      <c r="F164" s="12" t="s">
        <v>121</v>
      </c>
      <c r="G164" s="12" t="s">
        <v>39</v>
      </c>
      <c r="H164" s="12">
        <v>3</v>
      </c>
      <c r="I164" s="14">
        <v>79.989999999999995</v>
      </c>
      <c r="J164" s="12" t="s">
        <v>63</v>
      </c>
      <c r="K164" s="12" t="s">
        <v>69</v>
      </c>
      <c r="L164" s="12" t="s">
        <v>42</v>
      </c>
      <c r="M164" s="13">
        <v>44779</v>
      </c>
      <c r="N164" s="14">
        <v>239.97</v>
      </c>
      <c r="O164" s="15">
        <f t="shared" ca="1" si="12"/>
        <v>46312</v>
      </c>
      <c r="P164" s="16">
        <f t="shared" ca="1" si="13"/>
        <v>46312.46113171296</v>
      </c>
      <c r="Q164" s="17">
        <f t="shared" ca="1" si="14"/>
        <v>4</v>
      </c>
      <c r="R164" s="7">
        <f t="shared" ca="1" si="15"/>
        <v>50</v>
      </c>
      <c r="S164" s="15">
        <f t="shared" si="16"/>
        <v>45657</v>
      </c>
      <c r="T164" s="7" t="str">
        <f t="shared" si="17"/>
        <v>Appli-Coff-P004</v>
      </c>
    </row>
    <row r="165" spans="1:20">
      <c r="A165" s="12" t="s">
        <v>314</v>
      </c>
      <c r="B165" s="13">
        <v>45638</v>
      </c>
      <c r="C165" s="12" t="s">
        <v>78</v>
      </c>
      <c r="D165" s="12" t="s">
        <v>79</v>
      </c>
      <c r="E165" s="12" t="s">
        <v>67</v>
      </c>
      <c r="F165" s="12" t="s">
        <v>68</v>
      </c>
      <c r="G165" s="12" t="s">
        <v>25</v>
      </c>
      <c r="H165" s="12">
        <v>2</v>
      </c>
      <c r="I165" s="14">
        <v>899.99</v>
      </c>
      <c r="J165" s="12" t="s">
        <v>26</v>
      </c>
      <c r="K165" s="12" t="s">
        <v>46</v>
      </c>
      <c r="L165" s="12" t="s">
        <v>28</v>
      </c>
      <c r="M165" s="13">
        <v>44406</v>
      </c>
      <c r="N165" s="14">
        <v>1799.98</v>
      </c>
      <c r="O165" s="15">
        <f t="shared" ca="1" si="12"/>
        <v>46312</v>
      </c>
      <c r="P165" s="16">
        <f t="shared" ca="1" si="13"/>
        <v>46312.46113171296</v>
      </c>
      <c r="Q165" s="17">
        <f t="shared" ca="1" si="14"/>
        <v>5</v>
      </c>
      <c r="R165" s="7">
        <f t="shared" ca="1" si="15"/>
        <v>62</v>
      </c>
      <c r="S165" s="15">
        <f t="shared" si="16"/>
        <v>45657</v>
      </c>
      <c r="T165" s="7" t="str">
        <f t="shared" si="17"/>
        <v>Elect-Lapt-P001</v>
      </c>
    </row>
    <row r="166" spans="1:20">
      <c r="A166" s="12" t="s">
        <v>315</v>
      </c>
      <c r="B166" s="13">
        <v>45641</v>
      </c>
      <c r="C166" s="12" t="s">
        <v>188</v>
      </c>
      <c r="D166" s="12" t="s">
        <v>189</v>
      </c>
      <c r="E166" s="12" t="s">
        <v>50</v>
      </c>
      <c r="F166" s="12" t="s">
        <v>51</v>
      </c>
      <c r="G166" s="12" t="s">
        <v>52</v>
      </c>
      <c r="H166" s="12">
        <v>1</v>
      </c>
      <c r="I166" s="14">
        <v>149.99</v>
      </c>
      <c r="J166" s="12" t="s">
        <v>63</v>
      </c>
      <c r="K166" s="12" t="s">
        <v>69</v>
      </c>
      <c r="L166" s="12" t="s">
        <v>42</v>
      </c>
      <c r="M166" s="13">
        <v>45200</v>
      </c>
      <c r="N166" s="14">
        <v>149.99</v>
      </c>
      <c r="O166" s="15">
        <f t="shared" ca="1" si="12"/>
        <v>46312</v>
      </c>
      <c r="P166" s="16">
        <f t="shared" ca="1" si="13"/>
        <v>46312.46113171296</v>
      </c>
      <c r="Q166" s="17">
        <f t="shared" ca="1" si="14"/>
        <v>3</v>
      </c>
      <c r="R166" s="7">
        <f t="shared" ca="1" si="15"/>
        <v>36</v>
      </c>
      <c r="S166" s="15">
        <f t="shared" si="16"/>
        <v>45657</v>
      </c>
      <c r="T166" s="7" t="str">
        <f t="shared" si="17"/>
        <v>Furni-Book-P008</v>
      </c>
    </row>
    <row r="167" spans="1:20">
      <c r="A167" s="12" t="s">
        <v>316</v>
      </c>
      <c r="B167" s="13">
        <v>45641</v>
      </c>
      <c r="C167" s="12" t="s">
        <v>144</v>
      </c>
      <c r="D167" s="12" t="s">
        <v>145</v>
      </c>
      <c r="E167" s="12" t="s">
        <v>111</v>
      </c>
      <c r="F167" s="12" t="s">
        <v>112</v>
      </c>
      <c r="G167" s="12" t="s">
        <v>52</v>
      </c>
      <c r="H167" s="12">
        <v>2</v>
      </c>
      <c r="I167" s="14">
        <v>299.99</v>
      </c>
      <c r="J167" s="12" t="s">
        <v>26</v>
      </c>
      <c r="K167" s="12" t="s">
        <v>69</v>
      </c>
      <c r="L167" s="12" t="s">
        <v>33</v>
      </c>
      <c r="M167" s="13">
        <v>44724</v>
      </c>
      <c r="N167" s="14">
        <v>599.98</v>
      </c>
      <c r="O167" s="15">
        <f t="shared" ca="1" si="12"/>
        <v>46312</v>
      </c>
      <c r="P167" s="16">
        <f t="shared" ca="1" si="13"/>
        <v>46312.46113171296</v>
      </c>
      <c r="Q167" s="17">
        <f t="shared" ca="1" si="14"/>
        <v>4</v>
      </c>
      <c r="R167" s="7">
        <f t="shared" ca="1" si="15"/>
        <v>52</v>
      </c>
      <c r="S167" s="15">
        <f t="shared" si="16"/>
        <v>45657</v>
      </c>
      <c r="T167" s="7" t="str">
        <f t="shared" si="17"/>
        <v>Furni-Desk-P007</v>
      </c>
    </row>
    <row r="168" spans="1:20">
      <c r="A168" s="12" t="s">
        <v>317</v>
      </c>
      <c r="B168" s="13">
        <v>45644</v>
      </c>
      <c r="C168" s="12" t="s">
        <v>138</v>
      </c>
      <c r="D168" s="12" t="s">
        <v>139</v>
      </c>
      <c r="E168" s="12" t="s">
        <v>37</v>
      </c>
      <c r="F168" s="12" t="s">
        <v>38</v>
      </c>
      <c r="G168" s="12" t="s">
        <v>39</v>
      </c>
      <c r="H168" s="12">
        <v>2</v>
      </c>
      <c r="I168" s="14">
        <v>59.99</v>
      </c>
      <c r="J168" s="12" t="s">
        <v>26</v>
      </c>
      <c r="K168" s="12" t="s">
        <v>56</v>
      </c>
      <c r="L168" s="12" t="s">
        <v>28</v>
      </c>
      <c r="M168" s="13">
        <v>45191</v>
      </c>
      <c r="N168" s="14">
        <v>119.98</v>
      </c>
      <c r="O168" s="15">
        <f t="shared" ca="1" si="12"/>
        <v>46312</v>
      </c>
      <c r="P168" s="16">
        <f t="shared" ca="1" si="13"/>
        <v>46312.46113171296</v>
      </c>
      <c r="Q168" s="17">
        <f t="shared" ca="1" si="14"/>
        <v>3</v>
      </c>
      <c r="R168" s="7">
        <f t="shared" ca="1" si="15"/>
        <v>36</v>
      </c>
      <c r="S168" s="15">
        <f t="shared" si="16"/>
        <v>45657</v>
      </c>
      <c r="T168" s="7" t="str">
        <f t="shared" si="17"/>
        <v>Appli-Blen-P005</v>
      </c>
    </row>
    <row r="169" spans="1:20">
      <c r="A169" s="12" t="s">
        <v>318</v>
      </c>
      <c r="B169" s="13">
        <v>45645</v>
      </c>
      <c r="C169" s="12" t="s">
        <v>188</v>
      </c>
      <c r="D169" s="12" t="s">
        <v>189</v>
      </c>
      <c r="E169" s="12" t="s">
        <v>123</v>
      </c>
      <c r="F169" s="12" t="s">
        <v>124</v>
      </c>
      <c r="G169" s="12" t="s">
        <v>25</v>
      </c>
      <c r="H169" s="12">
        <v>1</v>
      </c>
      <c r="I169" s="14">
        <v>89.99</v>
      </c>
      <c r="J169" s="12" t="s">
        <v>63</v>
      </c>
      <c r="K169" s="12" t="s">
        <v>27</v>
      </c>
      <c r="L169" s="12" t="s">
        <v>42</v>
      </c>
      <c r="M169" s="13">
        <v>44760</v>
      </c>
      <c r="N169" s="14">
        <v>89.99</v>
      </c>
      <c r="O169" s="15">
        <f t="shared" ca="1" si="12"/>
        <v>46312</v>
      </c>
      <c r="P169" s="16">
        <f t="shared" ca="1" si="13"/>
        <v>46312.46113171296</v>
      </c>
      <c r="Q169" s="17">
        <f t="shared" ca="1" si="14"/>
        <v>4</v>
      </c>
      <c r="R169" s="7">
        <f t="shared" ca="1" si="15"/>
        <v>50</v>
      </c>
      <c r="S169" s="15">
        <f t="shared" si="16"/>
        <v>45657</v>
      </c>
      <c r="T169" s="7" t="str">
        <f t="shared" si="17"/>
        <v>Elect-Keyb-P010</v>
      </c>
    </row>
    <row r="170" spans="1:20">
      <c r="A170" s="12" t="s">
        <v>319</v>
      </c>
      <c r="B170" s="13">
        <v>45645</v>
      </c>
      <c r="C170" s="12" t="s">
        <v>153</v>
      </c>
      <c r="D170" s="12" t="s">
        <v>154</v>
      </c>
      <c r="E170" s="12" t="s">
        <v>67</v>
      </c>
      <c r="F170" s="12" t="s">
        <v>68</v>
      </c>
      <c r="G170" s="12" t="s">
        <v>25</v>
      </c>
      <c r="H170" s="12">
        <v>5</v>
      </c>
      <c r="I170" s="14">
        <v>899.99</v>
      </c>
      <c r="J170" s="12" t="s">
        <v>63</v>
      </c>
      <c r="K170" s="12" t="s">
        <v>69</v>
      </c>
      <c r="L170" s="12" t="s">
        <v>42</v>
      </c>
      <c r="M170" s="13">
        <v>44625</v>
      </c>
      <c r="N170" s="14">
        <v>4499.95</v>
      </c>
      <c r="O170" s="15">
        <f t="shared" ca="1" si="12"/>
        <v>46312</v>
      </c>
      <c r="P170" s="16">
        <f t="shared" ca="1" si="13"/>
        <v>46312.46113171296</v>
      </c>
      <c r="Q170" s="17">
        <f t="shared" ca="1" si="14"/>
        <v>4</v>
      </c>
      <c r="R170" s="7">
        <f t="shared" ca="1" si="15"/>
        <v>55</v>
      </c>
      <c r="S170" s="15">
        <f t="shared" si="16"/>
        <v>45657</v>
      </c>
      <c r="T170" s="7" t="str">
        <f t="shared" si="17"/>
        <v>Elect-Lapt-P001</v>
      </c>
    </row>
    <row r="171" spans="1:20">
      <c r="A171" s="12" t="s">
        <v>320</v>
      </c>
      <c r="B171" s="13">
        <v>45646</v>
      </c>
      <c r="C171" s="12" t="s">
        <v>48</v>
      </c>
      <c r="D171" s="12" t="s">
        <v>49</v>
      </c>
      <c r="E171" s="12" t="s">
        <v>50</v>
      </c>
      <c r="F171" s="12" t="s">
        <v>51</v>
      </c>
      <c r="G171" s="12" t="s">
        <v>52</v>
      </c>
      <c r="H171" s="12">
        <v>2</v>
      </c>
      <c r="I171" s="14">
        <v>149.99</v>
      </c>
      <c r="J171" s="12" t="s">
        <v>26</v>
      </c>
      <c r="K171" s="12" t="s">
        <v>41</v>
      </c>
      <c r="L171" s="12" t="s">
        <v>28</v>
      </c>
      <c r="M171" s="13">
        <v>45239</v>
      </c>
      <c r="N171" s="14">
        <v>299.98</v>
      </c>
      <c r="O171" s="15">
        <f t="shared" ca="1" si="12"/>
        <v>46312</v>
      </c>
      <c r="P171" s="16">
        <f t="shared" ca="1" si="13"/>
        <v>46312.46113171296</v>
      </c>
      <c r="Q171" s="17">
        <f t="shared" ca="1" si="14"/>
        <v>2</v>
      </c>
      <c r="R171" s="7">
        <f t="shared" ca="1" si="15"/>
        <v>35</v>
      </c>
      <c r="S171" s="15">
        <f t="shared" si="16"/>
        <v>45657</v>
      </c>
      <c r="T171" s="7" t="str">
        <f t="shared" si="17"/>
        <v>Furni-Book-P008</v>
      </c>
    </row>
    <row r="172" spans="1:20">
      <c r="A172" s="12" t="s">
        <v>321</v>
      </c>
      <c r="B172" s="13">
        <v>45648</v>
      </c>
      <c r="C172" s="12" t="s">
        <v>118</v>
      </c>
      <c r="D172" s="12" t="s">
        <v>119</v>
      </c>
      <c r="E172" s="12" t="s">
        <v>58</v>
      </c>
      <c r="F172" s="12" t="s">
        <v>59</v>
      </c>
      <c r="G172" s="12" t="s">
        <v>25</v>
      </c>
      <c r="H172" s="12">
        <v>2</v>
      </c>
      <c r="I172" s="14">
        <v>149.99</v>
      </c>
      <c r="J172" s="12" t="s">
        <v>63</v>
      </c>
      <c r="K172" s="12" t="s">
        <v>56</v>
      </c>
      <c r="L172" s="12" t="s">
        <v>33</v>
      </c>
      <c r="M172" s="13">
        <v>45280</v>
      </c>
      <c r="N172" s="14">
        <v>299.98</v>
      </c>
      <c r="O172" s="15">
        <f t="shared" ca="1" si="12"/>
        <v>46312</v>
      </c>
      <c r="P172" s="16">
        <f t="shared" ca="1" si="13"/>
        <v>46312.46113171296</v>
      </c>
      <c r="Q172" s="17">
        <f t="shared" ca="1" si="14"/>
        <v>2</v>
      </c>
      <c r="R172" s="7">
        <f t="shared" ca="1" si="15"/>
        <v>33</v>
      </c>
      <c r="S172" s="15">
        <f t="shared" si="16"/>
        <v>45657</v>
      </c>
      <c r="T172" s="7" t="str">
        <f t="shared" si="17"/>
        <v>Elect-Head-P003</v>
      </c>
    </row>
    <row r="173" spans="1:20">
      <c r="A173" s="12" t="s">
        <v>322</v>
      </c>
      <c r="B173" s="13">
        <v>45648</v>
      </c>
      <c r="C173" s="12" t="s">
        <v>188</v>
      </c>
      <c r="D173" s="12" t="s">
        <v>189</v>
      </c>
      <c r="E173" s="12" t="s">
        <v>50</v>
      </c>
      <c r="F173" s="12" t="s">
        <v>51</v>
      </c>
      <c r="G173" s="12" t="s">
        <v>52</v>
      </c>
      <c r="H173" s="12">
        <v>3</v>
      </c>
      <c r="I173" s="14">
        <v>149.99</v>
      </c>
      <c r="J173" s="12" t="s">
        <v>63</v>
      </c>
      <c r="K173" s="12" t="s">
        <v>46</v>
      </c>
      <c r="L173" s="12" t="s">
        <v>42</v>
      </c>
      <c r="M173" s="13">
        <v>44522</v>
      </c>
      <c r="N173" s="14">
        <v>449.97</v>
      </c>
      <c r="O173" s="15">
        <f t="shared" ca="1" si="12"/>
        <v>46312</v>
      </c>
      <c r="P173" s="16">
        <f t="shared" ca="1" si="13"/>
        <v>46312.46113171296</v>
      </c>
      <c r="Q173" s="17">
        <f t="shared" ca="1" si="14"/>
        <v>4</v>
      </c>
      <c r="R173" s="7">
        <f t="shared" ca="1" si="15"/>
        <v>58</v>
      </c>
      <c r="S173" s="15">
        <f t="shared" si="16"/>
        <v>45657</v>
      </c>
      <c r="T173" s="7" t="str">
        <f t="shared" si="17"/>
        <v>Furni-Book-P008</v>
      </c>
    </row>
    <row r="174" spans="1:20">
      <c r="A174" s="12" t="s">
        <v>323</v>
      </c>
      <c r="B174" s="13">
        <v>45649</v>
      </c>
      <c r="C174" s="12" t="s">
        <v>35</v>
      </c>
      <c r="D174" s="12" t="s">
        <v>36</v>
      </c>
      <c r="E174" s="12" t="s">
        <v>111</v>
      </c>
      <c r="F174" s="12" t="s">
        <v>112</v>
      </c>
      <c r="G174" s="12" t="s">
        <v>52</v>
      </c>
      <c r="H174" s="12">
        <v>2</v>
      </c>
      <c r="I174" s="14">
        <v>299.99</v>
      </c>
      <c r="J174" s="12" t="s">
        <v>40</v>
      </c>
      <c r="K174" s="12" t="s">
        <v>41</v>
      </c>
      <c r="L174" s="12" t="s">
        <v>28</v>
      </c>
      <c r="M174" s="13">
        <v>44721</v>
      </c>
      <c r="N174" s="14">
        <v>599.98</v>
      </c>
      <c r="O174" s="15">
        <f t="shared" ca="1" si="12"/>
        <v>46312</v>
      </c>
      <c r="P174" s="16">
        <f t="shared" ca="1" si="13"/>
        <v>46312.46113171296</v>
      </c>
      <c r="Q174" s="17">
        <f t="shared" ca="1" si="14"/>
        <v>4</v>
      </c>
      <c r="R174" s="7">
        <f t="shared" ca="1" si="15"/>
        <v>52</v>
      </c>
      <c r="S174" s="15">
        <f t="shared" si="16"/>
        <v>45657</v>
      </c>
      <c r="T174" s="7" t="str">
        <f t="shared" si="17"/>
        <v>Furni-Desk-P007</v>
      </c>
    </row>
    <row r="175" spans="1:20">
      <c r="A175" s="12" t="s">
        <v>324</v>
      </c>
      <c r="B175" s="13">
        <v>45654</v>
      </c>
      <c r="C175" s="12" t="s">
        <v>48</v>
      </c>
      <c r="D175" s="12" t="s">
        <v>49</v>
      </c>
      <c r="E175" s="12" t="s">
        <v>111</v>
      </c>
      <c r="F175" s="12" t="s">
        <v>112</v>
      </c>
      <c r="G175" s="12" t="s">
        <v>52</v>
      </c>
      <c r="H175" s="12">
        <v>2</v>
      </c>
      <c r="I175" s="14">
        <v>299.99</v>
      </c>
      <c r="J175" s="12" t="s">
        <v>26</v>
      </c>
      <c r="K175" s="12" t="s">
        <v>56</v>
      </c>
      <c r="L175" s="12" t="s">
        <v>28</v>
      </c>
      <c r="M175" s="13">
        <v>44771</v>
      </c>
      <c r="N175" s="14">
        <v>599.98</v>
      </c>
      <c r="O175" s="15">
        <f t="shared" ca="1" si="12"/>
        <v>46312</v>
      </c>
      <c r="P175" s="16">
        <f t="shared" ca="1" si="13"/>
        <v>46312.46113171296</v>
      </c>
      <c r="Q175" s="17">
        <f t="shared" ca="1" si="14"/>
        <v>4</v>
      </c>
      <c r="R175" s="7">
        <f t="shared" ca="1" si="15"/>
        <v>50</v>
      </c>
      <c r="S175" s="15">
        <f t="shared" si="16"/>
        <v>45657</v>
      </c>
      <c r="T175" s="7" t="str">
        <f t="shared" si="17"/>
        <v>Furni-Desk-P007</v>
      </c>
    </row>
    <row r="176" spans="1:20">
      <c r="A176" s="12" t="s">
        <v>325</v>
      </c>
      <c r="B176" s="13">
        <v>45654</v>
      </c>
      <c r="C176" s="12" t="s">
        <v>126</v>
      </c>
      <c r="D176" s="12" t="s">
        <v>127</v>
      </c>
      <c r="E176" s="12" t="s">
        <v>132</v>
      </c>
      <c r="F176" s="12" t="s">
        <v>133</v>
      </c>
      <c r="G176" s="12" t="s">
        <v>52</v>
      </c>
      <c r="H176" s="12">
        <v>4</v>
      </c>
      <c r="I176" s="14">
        <v>199.99</v>
      </c>
      <c r="J176" s="12" t="s">
        <v>32</v>
      </c>
      <c r="K176" s="12" t="s">
        <v>27</v>
      </c>
      <c r="L176" s="12" t="s">
        <v>28</v>
      </c>
      <c r="M176" s="13">
        <v>44523</v>
      </c>
      <c r="N176" s="14">
        <v>799.96</v>
      </c>
      <c r="O176" s="15">
        <f t="shared" ca="1" si="12"/>
        <v>46312</v>
      </c>
      <c r="P176" s="16">
        <f t="shared" ca="1" si="13"/>
        <v>46312.46113171296</v>
      </c>
      <c r="Q176" s="17">
        <f t="shared" ca="1" si="14"/>
        <v>4</v>
      </c>
      <c r="R176" s="7">
        <f t="shared" ca="1" si="15"/>
        <v>58</v>
      </c>
      <c r="S176" s="15">
        <f t="shared" si="16"/>
        <v>45657</v>
      </c>
      <c r="T176" s="7" t="str">
        <f t="shared" si="17"/>
        <v>Furni-Offi-P006</v>
      </c>
    </row>
    <row r="177" spans="1:20">
      <c r="A177" s="12" t="s">
        <v>326</v>
      </c>
      <c r="B177" s="13">
        <v>45655</v>
      </c>
      <c r="C177" s="12" t="s">
        <v>65</v>
      </c>
      <c r="D177" s="12" t="s">
        <v>66</v>
      </c>
      <c r="E177" s="12" t="s">
        <v>123</v>
      </c>
      <c r="F177" s="12" t="s">
        <v>124</v>
      </c>
      <c r="G177" s="12" t="s">
        <v>25</v>
      </c>
      <c r="H177" s="12">
        <v>1</v>
      </c>
      <c r="I177" s="14">
        <v>89.99</v>
      </c>
      <c r="J177" s="12" t="s">
        <v>32</v>
      </c>
      <c r="K177" s="12" t="s">
        <v>41</v>
      </c>
      <c r="L177" s="12" t="s">
        <v>33</v>
      </c>
      <c r="M177" s="13">
        <v>44591</v>
      </c>
      <c r="N177" s="14">
        <v>89.99</v>
      </c>
      <c r="O177" s="15">
        <f t="shared" ca="1" si="12"/>
        <v>46312</v>
      </c>
      <c r="P177" s="16">
        <f t="shared" ca="1" si="13"/>
        <v>46312.46113171296</v>
      </c>
      <c r="Q177" s="17">
        <f t="shared" ca="1" si="14"/>
        <v>4</v>
      </c>
      <c r="R177" s="7">
        <f t="shared" ca="1" si="15"/>
        <v>56</v>
      </c>
      <c r="S177" s="15">
        <f t="shared" si="16"/>
        <v>45657</v>
      </c>
      <c r="T177" s="7" t="str">
        <f t="shared" si="17"/>
        <v>Elect-Keyb-P010</v>
      </c>
    </row>
    <row r="178" spans="1:20">
      <c r="A178" s="12" t="s">
        <v>327</v>
      </c>
      <c r="B178" s="13">
        <v>45655</v>
      </c>
      <c r="C178" s="12" t="s">
        <v>114</v>
      </c>
      <c r="D178" s="12" t="s">
        <v>115</v>
      </c>
      <c r="E178" s="12" t="s">
        <v>50</v>
      </c>
      <c r="F178" s="12" t="s">
        <v>51</v>
      </c>
      <c r="G178" s="12" t="s">
        <v>52</v>
      </c>
      <c r="H178" s="12">
        <v>5</v>
      </c>
      <c r="I178" s="14">
        <v>149.99</v>
      </c>
      <c r="J178" s="12" t="s">
        <v>26</v>
      </c>
      <c r="K178" s="12" t="s">
        <v>27</v>
      </c>
      <c r="L178" s="12" t="s">
        <v>33</v>
      </c>
      <c r="M178" s="13">
        <v>45347</v>
      </c>
      <c r="N178" s="14">
        <v>749.95</v>
      </c>
      <c r="O178" s="15">
        <f t="shared" ca="1" si="12"/>
        <v>46312</v>
      </c>
      <c r="P178" s="16">
        <f t="shared" ca="1" si="13"/>
        <v>46312.46113171296</v>
      </c>
      <c r="Q178" s="17">
        <f t="shared" ca="1" si="14"/>
        <v>2</v>
      </c>
      <c r="R178" s="7">
        <f t="shared" ca="1" si="15"/>
        <v>31</v>
      </c>
      <c r="S178" s="15">
        <f t="shared" si="16"/>
        <v>45657</v>
      </c>
      <c r="T178" s="7" t="str">
        <f t="shared" si="17"/>
        <v>Furni-Book-P008</v>
      </c>
    </row>
    <row r="179" spans="1:20">
      <c r="A179" s="12" t="s">
        <v>328</v>
      </c>
      <c r="B179" s="13">
        <v>45657</v>
      </c>
      <c r="C179" s="12" t="s">
        <v>92</v>
      </c>
      <c r="D179" s="12" t="s">
        <v>93</v>
      </c>
      <c r="E179" s="12" t="s">
        <v>67</v>
      </c>
      <c r="F179" s="12" t="s">
        <v>68</v>
      </c>
      <c r="G179" s="12" t="s">
        <v>25</v>
      </c>
      <c r="H179" s="12">
        <v>1</v>
      </c>
      <c r="I179" s="14">
        <v>899.99</v>
      </c>
      <c r="J179" s="12" t="s">
        <v>40</v>
      </c>
      <c r="K179" s="12" t="s">
        <v>46</v>
      </c>
      <c r="L179" s="12" t="s">
        <v>33</v>
      </c>
      <c r="M179" s="13">
        <v>45050</v>
      </c>
      <c r="N179" s="14">
        <v>899.99</v>
      </c>
      <c r="O179" s="15">
        <f t="shared" ca="1" si="12"/>
        <v>46312</v>
      </c>
      <c r="P179" s="16">
        <f t="shared" ca="1" si="13"/>
        <v>46312.46113171296</v>
      </c>
      <c r="Q179" s="17">
        <f t="shared" ca="1" si="14"/>
        <v>3</v>
      </c>
      <c r="R179" s="7">
        <f t="shared" ca="1" si="15"/>
        <v>41</v>
      </c>
      <c r="S179" s="15">
        <f t="shared" si="16"/>
        <v>45657</v>
      </c>
      <c r="T179" s="7" t="str">
        <f t="shared" si="17"/>
        <v>Elect-Lapt-P001</v>
      </c>
    </row>
    <row r="180" spans="1:20">
      <c r="A180" s="12" t="s">
        <v>329</v>
      </c>
      <c r="B180" s="13">
        <v>45660</v>
      </c>
      <c r="C180" s="12" t="s">
        <v>153</v>
      </c>
      <c r="D180" s="12" t="s">
        <v>154</v>
      </c>
      <c r="E180" s="12" t="s">
        <v>123</v>
      </c>
      <c r="F180" s="12" t="s">
        <v>124</v>
      </c>
      <c r="G180" s="12" t="s">
        <v>25</v>
      </c>
      <c r="H180" s="12">
        <v>2</v>
      </c>
      <c r="I180" s="14">
        <v>89.99</v>
      </c>
      <c r="J180" s="12" t="s">
        <v>32</v>
      </c>
      <c r="K180" s="12" t="s">
        <v>41</v>
      </c>
      <c r="L180" s="12" t="s">
        <v>33</v>
      </c>
      <c r="M180" s="13">
        <v>44564</v>
      </c>
      <c r="N180" s="14">
        <v>179.98</v>
      </c>
      <c r="O180" s="15">
        <f t="shared" ca="1" si="12"/>
        <v>46312</v>
      </c>
      <c r="P180" s="16">
        <f t="shared" ca="1" si="13"/>
        <v>46312.46113171296</v>
      </c>
      <c r="Q180" s="17">
        <f t="shared" ca="1" si="14"/>
        <v>4</v>
      </c>
      <c r="R180" s="7">
        <f t="shared" ca="1" si="15"/>
        <v>57</v>
      </c>
      <c r="S180" s="15">
        <f t="shared" si="16"/>
        <v>45688</v>
      </c>
      <c r="T180" s="7" t="str">
        <f t="shared" si="17"/>
        <v>Elect-Keyb-P010</v>
      </c>
    </row>
    <row r="181" spans="1:20">
      <c r="A181" s="12" t="s">
        <v>330</v>
      </c>
      <c r="B181" s="13">
        <v>45661</v>
      </c>
      <c r="C181" s="12" t="s">
        <v>331</v>
      </c>
      <c r="D181" s="12" t="s">
        <v>332</v>
      </c>
      <c r="E181" s="12" t="s">
        <v>67</v>
      </c>
      <c r="F181" s="12" t="s">
        <v>68</v>
      </c>
      <c r="G181" s="12" t="s">
        <v>25</v>
      </c>
      <c r="H181" s="12">
        <v>1</v>
      </c>
      <c r="I181" s="14">
        <v>899.99</v>
      </c>
      <c r="J181" s="12" t="s">
        <v>40</v>
      </c>
      <c r="K181" s="12" t="s">
        <v>46</v>
      </c>
      <c r="L181" s="12" t="s">
        <v>42</v>
      </c>
      <c r="M181" s="13">
        <v>44752</v>
      </c>
      <c r="N181" s="14">
        <v>899.99</v>
      </c>
      <c r="O181" s="15">
        <f t="shared" ca="1" si="12"/>
        <v>46312</v>
      </c>
      <c r="P181" s="16">
        <f t="shared" ca="1" si="13"/>
        <v>46312.46113171296</v>
      </c>
      <c r="Q181" s="17">
        <f t="shared" ca="1" si="14"/>
        <v>4</v>
      </c>
      <c r="R181" s="7">
        <f t="shared" ca="1" si="15"/>
        <v>51</v>
      </c>
      <c r="S181" s="15">
        <f t="shared" si="16"/>
        <v>45688</v>
      </c>
      <c r="T181" s="7" t="str">
        <f t="shared" si="17"/>
        <v>Elect-Lapt-P001</v>
      </c>
    </row>
    <row r="182" spans="1:20">
      <c r="A182" s="12" t="s">
        <v>333</v>
      </c>
      <c r="B182" s="13">
        <v>45663</v>
      </c>
      <c r="C182" s="12" t="s">
        <v>135</v>
      </c>
      <c r="D182" s="12" t="s">
        <v>136</v>
      </c>
      <c r="E182" s="12" t="s">
        <v>58</v>
      </c>
      <c r="F182" s="12" t="s">
        <v>59</v>
      </c>
      <c r="G182" s="12" t="s">
        <v>25</v>
      </c>
      <c r="H182" s="12">
        <v>5</v>
      </c>
      <c r="I182" s="14">
        <v>149.99</v>
      </c>
      <c r="J182" s="12" t="s">
        <v>40</v>
      </c>
      <c r="K182" s="12" t="s">
        <v>69</v>
      </c>
      <c r="L182" s="12" t="s">
        <v>33</v>
      </c>
      <c r="M182" s="13">
        <v>44824</v>
      </c>
      <c r="N182" s="14">
        <v>749.95</v>
      </c>
      <c r="O182" s="15">
        <f t="shared" ca="1" si="12"/>
        <v>46312</v>
      </c>
      <c r="P182" s="16">
        <f t="shared" ca="1" si="13"/>
        <v>46312.46113171296</v>
      </c>
      <c r="Q182" s="17">
        <f t="shared" ca="1" si="14"/>
        <v>4</v>
      </c>
      <c r="R182" s="7">
        <f t="shared" ca="1" si="15"/>
        <v>48</v>
      </c>
      <c r="S182" s="15">
        <f t="shared" si="16"/>
        <v>45688</v>
      </c>
      <c r="T182" s="7" t="str">
        <f t="shared" si="17"/>
        <v>Elect-Head-P003</v>
      </c>
    </row>
    <row r="183" spans="1:20">
      <c r="A183" s="12" t="s">
        <v>334</v>
      </c>
      <c r="B183" s="13">
        <v>45663</v>
      </c>
      <c r="C183" s="12" t="s">
        <v>48</v>
      </c>
      <c r="D183" s="12" t="s">
        <v>49</v>
      </c>
      <c r="E183" s="12" t="s">
        <v>111</v>
      </c>
      <c r="F183" s="12" t="s">
        <v>112</v>
      </c>
      <c r="G183" s="12" t="s">
        <v>52</v>
      </c>
      <c r="H183" s="12">
        <v>3</v>
      </c>
      <c r="I183" s="14">
        <v>299.99</v>
      </c>
      <c r="J183" s="12" t="s">
        <v>26</v>
      </c>
      <c r="K183" s="12" t="s">
        <v>41</v>
      </c>
      <c r="L183" s="12" t="s">
        <v>42</v>
      </c>
      <c r="M183" s="13">
        <v>44422</v>
      </c>
      <c r="N183" s="14">
        <v>899.97</v>
      </c>
      <c r="O183" s="15">
        <f t="shared" ca="1" si="12"/>
        <v>46312</v>
      </c>
      <c r="P183" s="16">
        <f t="shared" ca="1" si="13"/>
        <v>46312.46113171296</v>
      </c>
      <c r="Q183" s="17">
        <f t="shared" ca="1" si="14"/>
        <v>5</v>
      </c>
      <c r="R183" s="7">
        <f t="shared" ca="1" si="15"/>
        <v>62</v>
      </c>
      <c r="S183" s="15">
        <f t="shared" si="16"/>
        <v>45688</v>
      </c>
      <c r="T183" s="7" t="str">
        <f t="shared" si="17"/>
        <v>Furni-Desk-P007</v>
      </c>
    </row>
    <row r="184" spans="1:20">
      <c r="A184" s="12" t="s">
        <v>335</v>
      </c>
      <c r="B184" s="13">
        <v>45666</v>
      </c>
      <c r="C184" s="12" t="s">
        <v>71</v>
      </c>
      <c r="D184" s="12" t="s">
        <v>72</v>
      </c>
      <c r="E184" s="12" t="s">
        <v>86</v>
      </c>
      <c r="F184" s="12" t="s">
        <v>87</v>
      </c>
      <c r="G184" s="12" t="s">
        <v>25</v>
      </c>
      <c r="H184" s="12">
        <v>3</v>
      </c>
      <c r="I184" s="14">
        <v>699.99</v>
      </c>
      <c r="J184" s="12" t="s">
        <v>32</v>
      </c>
      <c r="K184" s="12" t="s">
        <v>27</v>
      </c>
      <c r="L184" s="12" t="s">
        <v>33</v>
      </c>
      <c r="M184" s="13">
        <v>45105</v>
      </c>
      <c r="N184" s="14">
        <v>2099.9699999999998</v>
      </c>
      <c r="O184" s="15">
        <f t="shared" ca="1" si="12"/>
        <v>46312</v>
      </c>
      <c r="P184" s="16">
        <f t="shared" ca="1" si="13"/>
        <v>46312.46113171296</v>
      </c>
      <c r="Q184" s="17">
        <f t="shared" ca="1" si="14"/>
        <v>3</v>
      </c>
      <c r="R184" s="7">
        <f t="shared" ca="1" si="15"/>
        <v>39</v>
      </c>
      <c r="S184" s="15">
        <f t="shared" si="16"/>
        <v>45688</v>
      </c>
      <c r="T184" s="7" t="str">
        <f t="shared" si="17"/>
        <v>Elect-Smar-P002</v>
      </c>
    </row>
    <row r="185" spans="1:20">
      <c r="A185" s="12" t="s">
        <v>336</v>
      </c>
      <c r="B185" s="13">
        <v>45667</v>
      </c>
      <c r="C185" s="12" t="s">
        <v>114</v>
      </c>
      <c r="D185" s="12" t="s">
        <v>115</v>
      </c>
      <c r="E185" s="12" t="s">
        <v>132</v>
      </c>
      <c r="F185" s="12" t="s">
        <v>133</v>
      </c>
      <c r="G185" s="12" t="s">
        <v>52</v>
      </c>
      <c r="H185" s="12">
        <v>5</v>
      </c>
      <c r="I185" s="14">
        <v>199.99</v>
      </c>
      <c r="J185" s="12" t="s">
        <v>40</v>
      </c>
      <c r="K185" s="12" t="s">
        <v>27</v>
      </c>
      <c r="L185" s="12" t="s">
        <v>42</v>
      </c>
      <c r="M185" s="13">
        <v>44633</v>
      </c>
      <c r="N185" s="14">
        <v>999.95</v>
      </c>
      <c r="O185" s="15">
        <f t="shared" ca="1" si="12"/>
        <v>46312</v>
      </c>
      <c r="P185" s="16">
        <f t="shared" ca="1" si="13"/>
        <v>46312.46113171296</v>
      </c>
      <c r="Q185" s="17">
        <f t="shared" ca="1" si="14"/>
        <v>4</v>
      </c>
      <c r="R185" s="7">
        <f t="shared" ca="1" si="15"/>
        <v>55</v>
      </c>
      <c r="S185" s="15">
        <f t="shared" si="16"/>
        <v>45688</v>
      </c>
      <c r="T185" s="7" t="str">
        <f t="shared" si="17"/>
        <v>Furni-Offi-P006</v>
      </c>
    </row>
    <row r="186" spans="1:20">
      <c r="A186" s="12" t="s">
        <v>337</v>
      </c>
      <c r="B186" s="13">
        <v>45667</v>
      </c>
      <c r="C186" s="12" t="s">
        <v>99</v>
      </c>
      <c r="D186" s="12" t="s">
        <v>100</v>
      </c>
      <c r="E186" s="12" t="s">
        <v>23</v>
      </c>
      <c r="F186" s="12" t="s">
        <v>24</v>
      </c>
      <c r="G186" s="12" t="s">
        <v>25</v>
      </c>
      <c r="H186" s="12">
        <v>5</v>
      </c>
      <c r="I186" s="14">
        <v>249.99</v>
      </c>
      <c r="J186" s="12" t="s">
        <v>32</v>
      </c>
      <c r="K186" s="12" t="s">
        <v>41</v>
      </c>
      <c r="L186" s="12" t="s">
        <v>28</v>
      </c>
      <c r="M186" s="13">
        <v>45330</v>
      </c>
      <c r="N186" s="14">
        <v>1249.95</v>
      </c>
      <c r="O186" s="15">
        <f t="shared" ca="1" si="12"/>
        <v>46312</v>
      </c>
      <c r="P186" s="16">
        <f t="shared" ca="1" si="13"/>
        <v>46312.46113171296</v>
      </c>
      <c r="Q186" s="17">
        <f t="shared" ca="1" si="14"/>
        <v>2</v>
      </c>
      <c r="R186" s="7">
        <f t="shared" ca="1" si="15"/>
        <v>32</v>
      </c>
      <c r="S186" s="15">
        <f t="shared" si="16"/>
        <v>45688</v>
      </c>
      <c r="T186" s="7" t="str">
        <f t="shared" si="17"/>
        <v>Elect-Moni-P009</v>
      </c>
    </row>
    <row r="187" spans="1:20">
      <c r="A187" s="12" t="s">
        <v>338</v>
      </c>
      <c r="B187" s="13">
        <v>45668</v>
      </c>
      <c r="C187" s="12" t="s">
        <v>144</v>
      </c>
      <c r="D187" s="12" t="s">
        <v>145</v>
      </c>
      <c r="E187" s="12" t="s">
        <v>58</v>
      </c>
      <c r="F187" s="12" t="s">
        <v>59</v>
      </c>
      <c r="G187" s="12" t="s">
        <v>25</v>
      </c>
      <c r="H187" s="12">
        <v>4</v>
      </c>
      <c r="I187" s="14">
        <v>149.99</v>
      </c>
      <c r="J187" s="12" t="s">
        <v>63</v>
      </c>
      <c r="K187" s="12" t="s">
        <v>69</v>
      </c>
      <c r="L187" s="12" t="s">
        <v>42</v>
      </c>
      <c r="M187" s="13">
        <v>44536</v>
      </c>
      <c r="N187" s="14">
        <v>599.96</v>
      </c>
      <c r="O187" s="15">
        <f t="shared" ca="1" si="12"/>
        <v>46312</v>
      </c>
      <c r="P187" s="16">
        <f t="shared" ca="1" si="13"/>
        <v>46312.46113171296</v>
      </c>
      <c r="Q187" s="17">
        <f t="shared" ca="1" si="14"/>
        <v>4</v>
      </c>
      <c r="R187" s="7">
        <f t="shared" ca="1" si="15"/>
        <v>58</v>
      </c>
      <c r="S187" s="15">
        <f t="shared" si="16"/>
        <v>45688</v>
      </c>
      <c r="T187" s="7" t="str">
        <f t="shared" si="17"/>
        <v>Elect-Head-P003</v>
      </c>
    </row>
    <row r="188" spans="1:20">
      <c r="A188" s="12" t="s">
        <v>339</v>
      </c>
      <c r="B188" s="13">
        <v>45668</v>
      </c>
      <c r="C188" s="12" t="s">
        <v>84</v>
      </c>
      <c r="D188" s="12" t="s">
        <v>85</v>
      </c>
      <c r="E188" s="12" t="s">
        <v>86</v>
      </c>
      <c r="F188" s="12" t="s">
        <v>87</v>
      </c>
      <c r="G188" s="12" t="s">
        <v>25</v>
      </c>
      <c r="H188" s="12">
        <v>3</v>
      </c>
      <c r="I188" s="14">
        <v>699.99</v>
      </c>
      <c r="J188" s="12" t="s">
        <v>26</v>
      </c>
      <c r="K188" s="12" t="s">
        <v>46</v>
      </c>
      <c r="L188" s="12" t="s">
        <v>33</v>
      </c>
      <c r="M188" s="13">
        <v>44602</v>
      </c>
      <c r="N188" s="14">
        <v>2099.9699999999998</v>
      </c>
      <c r="O188" s="15">
        <f t="shared" ca="1" si="12"/>
        <v>46312</v>
      </c>
      <c r="P188" s="16">
        <f t="shared" ca="1" si="13"/>
        <v>46312.46113171296</v>
      </c>
      <c r="Q188" s="17">
        <f t="shared" ca="1" si="14"/>
        <v>4</v>
      </c>
      <c r="R188" s="7">
        <f t="shared" ca="1" si="15"/>
        <v>56</v>
      </c>
      <c r="S188" s="15">
        <f t="shared" si="16"/>
        <v>45688</v>
      </c>
      <c r="T188" s="7" t="str">
        <f t="shared" si="17"/>
        <v>Elect-Smar-P002</v>
      </c>
    </row>
    <row r="189" spans="1:20">
      <c r="A189" s="12" t="s">
        <v>340</v>
      </c>
      <c r="B189" s="13">
        <v>45670</v>
      </c>
      <c r="C189" s="12" t="s">
        <v>299</v>
      </c>
      <c r="D189" s="12" t="s">
        <v>300</v>
      </c>
      <c r="E189" s="12" t="s">
        <v>120</v>
      </c>
      <c r="F189" s="12" t="s">
        <v>121</v>
      </c>
      <c r="G189" s="12" t="s">
        <v>39</v>
      </c>
      <c r="H189" s="12">
        <v>1</v>
      </c>
      <c r="I189" s="14">
        <v>79.989999999999995</v>
      </c>
      <c r="J189" s="12" t="s">
        <v>32</v>
      </c>
      <c r="K189" s="12" t="s">
        <v>41</v>
      </c>
      <c r="L189" s="12" t="s">
        <v>28</v>
      </c>
      <c r="M189" s="13">
        <v>45322</v>
      </c>
      <c r="N189" s="14">
        <v>79.989999999999995</v>
      </c>
      <c r="O189" s="15">
        <f t="shared" ca="1" si="12"/>
        <v>46312</v>
      </c>
      <c r="P189" s="16">
        <f t="shared" ca="1" si="13"/>
        <v>46312.46113171296</v>
      </c>
      <c r="Q189" s="17">
        <f t="shared" ca="1" si="14"/>
        <v>2</v>
      </c>
      <c r="R189" s="7">
        <f t="shared" ca="1" si="15"/>
        <v>32</v>
      </c>
      <c r="S189" s="15">
        <f t="shared" si="16"/>
        <v>45688</v>
      </c>
      <c r="T189" s="7" t="str">
        <f t="shared" si="17"/>
        <v>Appli-Coff-P004</v>
      </c>
    </row>
    <row r="190" spans="1:20">
      <c r="A190" s="12" t="s">
        <v>341</v>
      </c>
      <c r="B190" s="13">
        <v>45670</v>
      </c>
      <c r="C190" s="12" t="s">
        <v>92</v>
      </c>
      <c r="D190" s="12" t="s">
        <v>93</v>
      </c>
      <c r="E190" s="12" t="s">
        <v>111</v>
      </c>
      <c r="F190" s="12" t="s">
        <v>112</v>
      </c>
      <c r="G190" s="12" t="s">
        <v>52</v>
      </c>
      <c r="H190" s="12">
        <v>1</v>
      </c>
      <c r="I190" s="14">
        <v>299.99</v>
      </c>
      <c r="J190" s="12" t="s">
        <v>32</v>
      </c>
      <c r="K190" s="12" t="s">
        <v>46</v>
      </c>
      <c r="L190" s="12" t="s">
        <v>28</v>
      </c>
      <c r="M190" s="13">
        <v>44436</v>
      </c>
      <c r="N190" s="14">
        <v>299.99</v>
      </c>
      <c r="O190" s="15">
        <f t="shared" ca="1" si="12"/>
        <v>46312</v>
      </c>
      <c r="P190" s="16">
        <f t="shared" ca="1" si="13"/>
        <v>46312.46113171296</v>
      </c>
      <c r="Q190" s="17">
        <f t="shared" ca="1" si="14"/>
        <v>5</v>
      </c>
      <c r="R190" s="7">
        <f t="shared" ca="1" si="15"/>
        <v>61</v>
      </c>
      <c r="S190" s="15">
        <f t="shared" si="16"/>
        <v>45688</v>
      </c>
      <c r="T190" s="7" t="str">
        <f t="shared" si="17"/>
        <v>Furni-Desk-P007</v>
      </c>
    </row>
    <row r="191" spans="1:20">
      <c r="A191" s="12" t="s">
        <v>342</v>
      </c>
      <c r="B191" s="13">
        <v>45671</v>
      </c>
      <c r="C191" s="12" t="s">
        <v>164</v>
      </c>
      <c r="D191" s="12" t="s">
        <v>165</v>
      </c>
      <c r="E191" s="12" t="s">
        <v>23</v>
      </c>
      <c r="F191" s="12" t="s">
        <v>24</v>
      </c>
      <c r="G191" s="12" t="s">
        <v>25</v>
      </c>
      <c r="H191" s="12">
        <v>4</v>
      </c>
      <c r="I191" s="14">
        <v>249.99</v>
      </c>
      <c r="J191" s="12" t="s">
        <v>32</v>
      </c>
      <c r="K191" s="12" t="s">
        <v>46</v>
      </c>
      <c r="L191" s="12" t="s">
        <v>33</v>
      </c>
      <c r="M191" s="13">
        <v>44460</v>
      </c>
      <c r="N191" s="14">
        <v>999.96</v>
      </c>
      <c r="O191" s="15">
        <f t="shared" ca="1" si="12"/>
        <v>46312</v>
      </c>
      <c r="P191" s="16">
        <f t="shared" ca="1" si="13"/>
        <v>46312.46113171296</v>
      </c>
      <c r="Q191" s="17">
        <f t="shared" ca="1" si="14"/>
        <v>5</v>
      </c>
      <c r="R191" s="7">
        <f t="shared" ca="1" si="15"/>
        <v>60</v>
      </c>
      <c r="S191" s="15">
        <f t="shared" si="16"/>
        <v>45688</v>
      </c>
      <c r="T191" s="7" t="str">
        <f t="shared" si="17"/>
        <v>Elect-Moni-P009</v>
      </c>
    </row>
    <row r="192" spans="1:20">
      <c r="A192" s="12" t="s">
        <v>343</v>
      </c>
      <c r="B192" s="13">
        <v>45671</v>
      </c>
      <c r="C192" s="12" t="s">
        <v>126</v>
      </c>
      <c r="D192" s="12" t="s">
        <v>127</v>
      </c>
      <c r="E192" s="12" t="s">
        <v>58</v>
      </c>
      <c r="F192" s="12" t="s">
        <v>59</v>
      </c>
      <c r="G192" s="12" t="s">
        <v>25</v>
      </c>
      <c r="H192" s="12">
        <v>2</v>
      </c>
      <c r="I192" s="14">
        <v>149.99</v>
      </c>
      <c r="J192" s="12" t="s">
        <v>26</v>
      </c>
      <c r="K192" s="12" t="s">
        <v>46</v>
      </c>
      <c r="L192" s="12" t="s">
        <v>42</v>
      </c>
      <c r="M192" s="13">
        <v>44913</v>
      </c>
      <c r="N192" s="14">
        <v>299.98</v>
      </c>
      <c r="O192" s="15">
        <f t="shared" ca="1" si="12"/>
        <v>46312</v>
      </c>
      <c r="P192" s="16">
        <f t="shared" ca="1" si="13"/>
        <v>46312.46113171296</v>
      </c>
      <c r="Q192" s="17">
        <f t="shared" ca="1" si="14"/>
        <v>3</v>
      </c>
      <c r="R192" s="7">
        <f t="shared" ca="1" si="15"/>
        <v>45</v>
      </c>
      <c r="S192" s="15">
        <f t="shared" si="16"/>
        <v>45688</v>
      </c>
      <c r="T192" s="7" t="str">
        <f t="shared" si="17"/>
        <v>Elect-Head-P003</v>
      </c>
    </row>
    <row r="193" spans="1:20">
      <c r="A193" s="12" t="s">
        <v>344</v>
      </c>
      <c r="B193" s="13">
        <v>45671</v>
      </c>
      <c r="C193" s="12" t="s">
        <v>240</v>
      </c>
      <c r="D193" s="12" t="s">
        <v>241</v>
      </c>
      <c r="E193" s="12" t="s">
        <v>111</v>
      </c>
      <c r="F193" s="12" t="s">
        <v>112</v>
      </c>
      <c r="G193" s="12" t="s">
        <v>52</v>
      </c>
      <c r="H193" s="12">
        <v>3</v>
      </c>
      <c r="I193" s="14">
        <v>299.99</v>
      </c>
      <c r="J193" s="12" t="s">
        <v>32</v>
      </c>
      <c r="K193" s="12" t="s">
        <v>41</v>
      </c>
      <c r="L193" s="12" t="s">
        <v>28</v>
      </c>
      <c r="M193" s="13">
        <v>45204</v>
      </c>
      <c r="N193" s="14">
        <v>899.97</v>
      </c>
      <c r="O193" s="15">
        <f t="shared" ca="1" si="12"/>
        <v>46312</v>
      </c>
      <c r="P193" s="16">
        <f t="shared" ca="1" si="13"/>
        <v>46312.46113171296</v>
      </c>
      <c r="Q193" s="17">
        <f t="shared" ca="1" si="14"/>
        <v>3</v>
      </c>
      <c r="R193" s="7">
        <f t="shared" ca="1" si="15"/>
        <v>36</v>
      </c>
      <c r="S193" s="15">
        <f t="shared" si="16"/>
        <v>45688</v>
      </c>
      <c r="T193" s="7" t="str">
        <f t="shared" si="17"/>
        <v>Furni-Desk-P007</v>
      </c>
    </row>
    <row r="194" spans="1:20">
      <c r="A194" s="12" t="s">
        <v>345</v>
      </c>
      <c r="B194" s="13">
        <v>45673</v>
      </c>
      <c r="C194" s="12" t="s">
        <v>232</v>
      </c>
      <c r="D194" s="12" t="s">
        <v>233</v>
      </c>
      <c r="E194" s="12" t="s">
        <v>132</v>
      </c>
      <c r="F194" s="12" t="s">
        <v>133</v>
      </c>
      <c r="G194" s="12" t="s">
        <v>52</v>
      </c>
      <c r="H194" s="12">
        <v>4</v>
      </c>
      <c r="I194" s="14">
        <v>199.99</v>
      </c>
      <c r="J194" s="12" t="s">
        <v>63</v>
      </c>
      <c r="K194" s="12" t="s">
        <v>41</v>
      </c>
      <c r="L194" s="12" t="s">
        <v>42</v>
      </c>
      <c r="M194" s="13">
        <v>44544</v>
      </c>
      <c r="N194" s="14">
        <v>799.96</v>
      </c>
      <c r="O194" s="15">
        <f t="shared" ca="1" si="12"/>
        <v>46312</v>
      </c>
      <c r="P194" s="16">
        <f t="shared" ca="1" si="13"/>
        <v>46312.46113171296</v>
      </c>
      <c r="Q194" s="17">
        <f t="shared" ca="1" si="14"/>
        <v>4</v>
      </c>
      <c r="R194" s="7">
        <f t="shared" ca="1" si="15"/>
        <v>58</v>
      </c>
      <c r="S194" s="15">
        <f t="shared" si="16"/>
        <v>45688</v>
      </c>
      <c r="T194" s="7" t="str">
        <f t="shared" si="17"/>
        <v>Furni-Offi-P006</v>
      </c>
    </row>
    <row r="195" spans="1:20">
      <c r="A195" s="12" t="s">
        <v>346</v>
      </c>
      <c r="B195" s="13">
        <v>45673</v>
      </c>
      <c r="C195" s="12" t="s">
        <v>217</v>
      </c>
      <c r="D195" s="12" t="s">
        <v>218</v>
      </c>
      <c r="E195" s="12" t="s">
        <v>111</v>
      </c>
      <c r="F195" s="12" t="s">
        <v>112</v>
      </c>
      <c r="G195" s="12" t="s">
        <v>52</v>
      </c>
      <c r="H195" s="12">
        <v>5</v>
      </c>
      <c r="I195" s="14">
        <v>299.99</v>
      </c>
      <c r="J195" s="12" t="s">
        <v>63</v>
      </c>
      <c r="K195" s="12" t="s">
        <v>27</v>
      </c>
      <c r="L195" s="12" t="s">
        <v>28</v>
      </c>
      <c r="M195" s="13">
        <v>44431</v>
      </c>
      <c r="N195" s="14">
        <v>1499.95</v>
      </c>
      <c r="O195" s="15">
        <f t="shared" ref="O195:O251" ca="1" si="18">TODAY()</f>
        <v>46312</v>
      </c>
      <c r="P195" s="16">
        <f t="shared" ref="P195:P251" ca="1" si="19">NOW()</f>
        <v>46312.46113171296</v>
      </c>
      <c r="Q195" s="17">
        <f t="shared" ref="Q195:Q251" ca="1" si="20">DATEDIF(M195,TODAY(),"Y")</f>
        <v>5</v>
      </c>
      <c r="R195" s="7">
        <f t="shared" ref="R195:R251" ca="1" si="21">DATEDIF(M195,TODAY(),"M")</f>
        <v>61</v>
      </c>
      <c r="S195" s="15">
        <f t="shared" ref="S195:S251" si="22">EOMONTH(B195,0)</f>
        <v>45688</v>
      </c>
      <c r="T195" s="7" t="str">
        <f t="shared" ref="T195:T251" si="23">CONCATENATE(LEFT(G195,5),"-",LEFT(F195,4),"-",E195)</f>
        <v>Furni-Desk-P007</v>
      </c>
    </row>
    <row r="196" spans="1:20">
      <c r="A196" s="12" t="s">
        <v>347</v>
      </c>
      <c r="B196" s="13">
        <v>45673</v>
      </c>
      <c r="C196" s="12" t="s">
        <v>65</v>
      </c>
      <c r="D196" s="12" t="s">
        <v>66</v>
      </c>
      <c r="E196" s="12" t="s">
        <v>50</v>
      </c>
      <c r="F196" s="12" t="s">
        <v>51</v>
      </c>
      <c r="G196" s="12" t="s">
        <v>52</v>
      </c>
      <c r="H196" s="12">
        <v>3</v>
      </c>
      <c r="I196" s="14">
        <v>149.99</v>
      </c>
      <c r="J196" s="12" t="s">
        <v>32</v>
      </c>
      <c r="K196" s="12" t="s">
        <v>69</v>
      </c>
      <c r="L196" s="12" t="s">
        <v>42</v>
      </c>
      <c r="M196" s="13">
        <v>44395</v>
      </c>
      <c r="N196" s="14">
        <v>449.97</v>
      </c>
      <c r="O196" s="15">
        <f t="shared" ca="1" si="18"/>
        <v>46312</v>
      </c>
      <c r="P196" s="16">
        <f t="shared" ca="1" si="19"/>
        <v>46312.46113171296</v>
      </c>
      <c r="Q196" s="17">
        <f t="shared" ca="1" si="20"/>
        <v>5</v>
      </c>
      <c r="R196" s="7">
        <f t="shared" ca="1" si="21"/>
        <v>62</v>
      </c>
      <c r="S196" s="15">
        <f t="shared" si="22"/>
        <v>45688</v>
      </c>
      <c r="T196" s="7" t="str">
        <f t="shared" si="23"/>
        <v>Furni-Book-P008</v>
      </c>
    </row>
    <row r="197" spans="1:20">
      <c r="A197" s="12" t="s">
        <v>348</v>
      </c>
      <c r="B197" s="13">
        <v>45676</v>
      </c>
      <c r="C197" s="12" t="s">
        <v>135</v>
      </c>
      <c r="D197" s="12" t="s">
        <v>136</v>
      </c>
      <c r="E197" s="12" t="s">
        <v>37</v>
      </c>
      <c r="F197" s="12" t="s">
        <v>38</v>
      </c>
      <c r="G197" s="12" t="s">
        <v>39</v>
      </c>
      <c r="H197" s="12">
        <v>5</v>
      </c>
      <c r="I197" s="14">
        <v>59.99</v>
      </c>
      <c r="J197" s="12" t="s">
        <v>63</v>
      </c>
      <c r="K197" s="12" t="s">
        <v>69</v>
      </c>
      <c r="L197" s="12" t="s">
        <v>28</v>
      </c>
      <c r="M197" s="13">
        <v>44642</v>
      </c>
      <c r="N197" s="14">
        <v>299.95</v>
      </c>
      <c r="O197" s="15">
        <f t="shared" ca="1" si="18"/>
        <v>46312</v>
      </c>
      <c r="P197" s="16">
        <f t="shared" ca="1" si="19"/>
        <v>46312.46113171296</v>
      </c>
      <c r="Q197" s="17">
        <f t="shared" ca="1" si="20"/>
        <v>4</v>
      </c>
      <c r="R197" s="7">
        <f t="shared" ca="1" si="21"/>
        <v>54</v>
      </c>
      <c r="S197" s="15">
        <f t="shared" si="22"/>
        <v>45688</v>
      </c>
      <c r="T197" s="7" t="str">
        <f t="shared" si="23"/>
        <v>Appli-Blen-P005</v>
      </c>
    </row>
    <row r="198" spans="1:20">
      <c r="A198" s="12" t="s">
        <v>349</v>
      </c>
      <c r="B198" s="13">
        <v>45682</v>
      </c>
      <c r="C198" s="12" t="s">
        <v>74</v>
      </c>
      <c r="D198" s="12" t="s">
        <v>75</v>
      </c>
      <c r="E198" s="12" t="s">
        <v>37</v>
      </c>
      <c r="F198" s="12" t="s">
        <v>38</v>
      </c>
      <c r="G198" s="12" t="s">
        <v>39</v>
      </c>
      <c r="H198" s="12">
        <v>4</v>
      </c>
      <c r="I198" s="14">
        <v>59.99</v>
      </c>
      <c r="J198" s="12" t="s">
        <v>63</v>
      </c>
      <c r="K198" s="12" t="s">
        <v>69</v>
      </c>
      <c r="L198" s="12" t="s">
        <v>42</v>
      </c>
      <c r="M198" s="13">
        <v>44564</v>
      </c>
      <c r="N198" s="14">
        <v>239.96</v>
      </c>
      <c r="O198" s="15">
        <f t="shared" ca="1" si="18"/>
        <v>46312</v>
      </c>
      <c r="P198" s="16">
        <f t="shared" ca="1" si="19"/>
        <v>46312.46113171296</v>
      </c>
      <c r="Q198" s="17">
        <f t="shared" ca="1" si="20"/>
        <v>4</v>
      </c>
      <c r="R198" s="7">
        <f t="shared" ca="1" si="21"/>
        <v>57</v>
      </c>
      <c r="S198" s="15">
        <f t="shared" si="22"/>
        <v>45688</v>
      </c>
      <c r="T198" s="7" t="str">
        <f t="shared" si="23"/>
        <v>Appli-Blen-P005</v>
      </c>
    </row>
    <row r="199" spans="1:20">
      <c r="A199" s="12" t="s">
        <v>350</v>
      </c>
      <c r="B199" s="13">
        <v>45683</v>
      </c>
      <c r="C199" s="12" t="s">
        <v>54</v>
      </c>
      <c r="D199" s="12" t="s">
        <v>55</v>
      </c>
      <c r="E199" s="12" t="s">
        <v>23</v>
      </c>
      <c r="F199" s="12" t="s">
        <v>24</v>
      </c>
      <c r="G199" s="12" t="s">
        <v>25</v>
      </c>
      <c r="H199" s="12">
        <v>4</v>
      </c>
      <c r="I199" s="14">
        <v>249.99</v>
      </c>
      <c r="J199" s="12" t="s">
        <v>63</v>
      </c>
      <c r="K199" s="12" t="s">
        <v>27</v>
      </c>
      <c r="L199" s="12" t="s">
        <v>33</v>
      </c>
      <c r="M199" s="13">
        <v>45217</v>
      </c>
      <c r="N199" s="14">
        <v>999.96</v>
      </c>
      <c r="O199" s="15">
        <f t="shared" ca="1" si="18"/>
        <v>46312</v>
      </c>
      <c r="P199" s="16">
        <f t="shared" ca="1" si="19"/>
        <v>46312.46113171296</v>
      </c>
      <c r="Q199" s="17">
        <f t="shared" ca="1" si="20"/>
        <v>2</v>
      </c>
      <c r="R199" s="7">
        <f t="shared" ca="1" si="21"/>
        <v>35</v>
      </c>
      <c r="S199" s="15">
        <f t="shared" si="22"/>
        <v>45688</v>
      </c>
      <c r="T199" s="7" t="str">
        <f t="shared" si="23"/>
        <v>Elect-Moni-P009</v>
      </c>
    </row>
    <row r="200" spans="1:20">
      <c r="A200" s="12" t="s">
        <v>351</v>
      </c>
      <c r="B200" s="13">
        <v>45686</v>
      </c>
      <c r="C200" s="12" t="s">
        <v>258</v>
      </c>
      <c r="D200" s="12" t="s">
        <v>259</v>
      </c>
      <c r="E200" s="12" t="s">
        <v>67</v>
      </c>
      <c r="F200" s="12" t="s">
        <v>68</v>
      </c>
      <c r="G200" s="12" t="s">
        <v>25</v>
      </c>
      <c r="H200" s="12">
        <v>4</v>
      </c>
      <c r="I200" s="14">
        <v>899.99</v>
      </c>
      <c r="J200" s="12" t="s">
        <v>40</v>
      </c>
      <c r="K200" s="12" t="s">
        <v>27</v>
      </c>
      <c r="L200" s="12" t="s">
        <v>28</v>
      </c>
      <c r="M200" s="13">
        <v>44734</v>
      </c>
      <c r="N200" s="14">
        <v>3599.96</v>
      </c>
      <c r="O200" s="15">
        <f t="shared" ca="1" si="18"/>
        <v>46312</v>
      </c>
      <c r="P200" s="16">
        <f t="shared" ca="1" si="19"/>
        <v>46312.46113171296</v>
      </c>
      <c r="Q200" s="17">
        <f t="shared" ca="1" si="20"/>
        <v>4</v>
      </c>
      <c r="R200" s="7">
        <f t="shared" ca="1" si="21"/>
        <v>51</v>
      </c>
      <c r="S200" s="15">
        <f t="shared" si="22"/>
        <v>45688</v>
      </c>
      <c r="T200" s="7" t="str">
        <f t="shared" si="23"/>
        <v>Elect-Lapt-P001</v>
      </c>
    </row>
    <row r="201" spans="1:20">
      <c r="A201" s="12" t="s">
        <v>352</v>
      </c>
      <c r="B201" s="13">
        <v>45686</v>
      </c>
      <c r="C201" s="12" t="s">
        <v>92</v>
      </c>
      <c r="D201" s="12" t="s">
        <v>93</v>
      </c>
      <c r="E201" s="12" t="s">
        <v>111</v>
      </c>
      <c r="F201" s="12" t="s">
        <v>112</v>
      </c>
      <c r="G201" s="12" t="s">
        <v>52</v>
      </c>
      <c r="H201" s="12">
        <v>3</v>
      </c>
      <c r="I201" s="14">
        <v>299.99</v>
      </c>
      <c r="J201" s="12" t="s">
        <v>63</v>
      </c>
      <c r="K201" s="12" t="s">
        <v>56</v>
      </c>
      <c r="L201" s="12" t="s">
        <v>42</v>
      </c>
      <c r="M201" s="13">
        <v>44952</v>
      </c>
      <c r="N201" s="14">
        <v>899.97</v>
      </c>
      <c r="O201" s="15">
        <f t="shared" ca="1" si="18"/>
        <v>46312</v>
      </c>
      <c r="P201" s="16">
        <f t="shared" ca="1" si="19"/>
        <v>46312.46113171296</v>
      </c>
      <c r="Q201" s="17">
        <f t="shared" ca="1" si="20"/>
        <v>3</v>
      </c>
      <c r="R201" s="7">
        <f t="shared" ca="1" si="21"/>
        <v>44</v>
      </c>
      <c r="S201" s="15">
        <f t="shared" si="22"/>
        <v>45688</v>
      </c>
      <c r="T201" s="7" t="str">
        <f t="shared" si="23"/>
        <v>Furni-Desk-P007</v>
      </c>
    </row>
    <row r="202" spans="1:20">
      <c r="A202" s="12" t="s">
        <v>353</v>
      </c>
      <c r="B202" s="13">
        <v>45686</v>
      </c>
      <c r="C202" s="12" t="s">
        <v>299</v>
      </c>
      <c r="D202" s="12" t="s">
        <v>300</v>
      </c>
      <c r="E202" s="12" t="s">
        <v>86</v>
      </c>
      <c r="F202" s="12" t="s">
        <v>87</v>
      </c>
      <c r="G202" s="12" t="s">
        <v>25</v>
      </c>
      <c r="H202" s="12">
        <v>2</v>
      </c>
      <c r="I202" s="14">
        <v>699.99</v>
      </c>
      <c r="J202" s="12" t="s">
        <v>63</v>
      </c>
      <c r="K202" s="12" t="s">
        <v>27</v>
      </c>
      <c r="L202" s="12" t="s">
        <v>33</v>
      </c>
      <c r="M202" s="13">
        <v>44681</v>
      </c>
      <c r="N202" s="14">
        <v>1399.98</v>
      </c>
      <c r="O202" s="15">
        <f t="shared" ca="1" si="18"/>
        <v>46312</v>
      </c>
      <c r="P202" s="16">
        <f t="shared" ca="1" si="19"/>
        <v>46312.46113171296</v>
      </c>
      <c r="Q202" s="17">
        <f t="shared" ca="1" si="20"/>
        <v>4</v>
      </c>
      <c r="R202" s="7">
        <f t="shared" ca="1" si="21"/>
        <v>53</v>
      </c>
      <c r="S202" s="15">
        <f t="shared" si="22"/>
        <v>45688</v>
      </c>
      <c r="T202" s="7" t="str">
        <f t="shared" si="23"/>
        <v>Elect-Smar-P002</v>
      </c>
    </row>
    <row r="203" spans="1:20">
      <c r="A203" s="12" t="s">
        <v>354</v>
      </c>
      <c r="B203" s="13">
        <v>45688</v>
      </c>
      <c r="C203" s="12" t="s">
        <v>71</v>
      </c>
      <c r="D203" s="12" t="s">
        <v>72</v>
      </c>
      <c r="E203" s="12" t="s">
        <v>86</v>
      </c>
      <c r="F203" s="12" t="s">
        <v>87</v>
      </c>
      <c r="G203" s="12" t="s">
        <v>25</v>
      </c>
      <c r="H203" s="12">
        <v>4</v>
      </c>
      <c r="I203" s="14">
        <v>699.99</v>
      </c>
      <c r="J203" s="12" t="s">
        <v>63</v>
      </c>
      <c r="K203" s="12" t="s">
        <v>56</v>
      </c>
      <c r="L203" s="12" t="s">
        <v>33</v>
      </c>
      <c r="M203" s="13">
        <v>44692</v>
      </c>
      <c r="N203" s="14">
        <v>2799.96</v>
      </c>
      <c r="O203" s="15">
        <f t="shared" ca="1" si="18"/>
        <v>46312</v>
      </c>
      <c r="P203" s="16">
        <f t="shared" ca="1" si="19"/>
        <v>46312.46113171296</v>
      </c>
      <c r="Q203" s="17">
        <f t="shared" ca="1" si="20"/>
        <v>4</v>
      </c>
      <c r="R203" s="7">
        <f t="shared" ca="1" si="21"/>
        <v>53</v>
      </c>
      <c r="S203" s="15">
        <f t="shared" si="22"/>
        <v>45688</v>
      </c>
      <c r="T203" s="7" t="str">
        <f t="shared" si="23"/>
        <v>Elect-Smar-P002</v>
      </c>
    </row>
    <row r="204" spans="1:20">
      <c r="A204" s="12" t="s">
        <v>355</v>
      </c>
      <c r="B204" s="13">
        <v>45688</v>
      </c>
      <c r="C204" s="12" t="s">
        <v>129</v>
      </c>
      <c r="D204" s="12" t="s">
        <v>130</v>
      </c>
      <c r="E204" s="12" t="s">
        <v>123</v>
      </c>
      <c r="F204" s="12" t="s">
        <v>124</v>
      </c>
      <c r="G204" s="12" t="s">
        <v>25</v>
      </c>
      <c r="H204" s="12">
        <v>2</v>
      </c>
      <c r="I204" s="14">
        <v>89.99</v>
      </c>
      <c r="J204" s="12" t="s">
        <v>63</v>
      </c>
      <c r="K204" s="12" t="s">
        <v>41</v>
      </c>
      <c r="L204" s="12" t="s">
        <v>28</v>
      </c>
      <c r="M204" s="13">
        <v>44777</v>
      </c>
      <c r="N204" s="14">
        <v>179.98</v>
      </c>
      <c r="O204" s="15">
        <f t="shared" ca="1" si="18"/>
        <v>46312</v>
      </c>
      <c r="P204" s="16">
        <f t="shared" ca="1" si="19"/>
        <v>46312.46113171296</v>
      </c>
      <c r="Q204" s="17">
        <f t="shared" ca="1" si="20"/>
        <v>4</v>
      </c>
      <c r="R204" s="7">
        <f t="shared" ca="1" si="21"/>
        <v>50</v>
      </c>
      <c r="S204" s="15">
        <f t="shared" si="22"/>
        <v>45688</v>
      </c>
      <c r="T204" s="7" t="str">
        <f t="shared" si="23"/>
        <v>Elect-Keyb-P010</v>
      </c>
    </row>
    <row r="205" spans="1:20">
      <c r="A205" s="12" t="s">
        <v>356</v>
      </c>
      <c r="B205" s="13">
        <v>45688</v>
      </c>
      <c r="C205" s="12" t="s">
        <v>48</v>
      </c>
      <c r="D205" s="12" t="s">
        <v>49</v>
      </c>
      <c r="E205" s="12" t="s">
        <v>123</v>
      </c>
      <c r="F205" s="12" t="s">
        <v>124</v>
      </c>
      <c r="G205" s="12" t="s">
        <v>25</v>
      </c>
      <c r="H205" s="12">
        <v>3</v>
      </c>
      <c r="I205" s="14">
        <v>89.99</v>
      </c>
      <c r="J205" s="12" t="s">
        <v>63</v>
      </c>
      <c r="K205" s="12" t="s">
        <v>41</v>
      </c>
      <c r="L205" s="12" t="s">
        <v>33</v>
      </c>
      <c r="M205" s="13">
        <v>45307</v>
      </c>
      <c r="N205" s="14">
        <v>269.97000000000003</v>
      </c>
      <c r="O205" s="15">
        <f t="shared" ca="1" si="18"/>
        <v>46312</v>
      </c>
      <c r="P205" s="16">
        <f t="shared" ca="1" si="19"/>
        <v>46312.46113171296</v>
      </c>
      <c r="Q205" s="17">
        <f t="shared" ca="1" si="20"/>
        <v>2</v>
      </c>
      <c r="R205" s="7">
        <f t="shared" ca="1" si="21"/>
        <v>33</v>
      </c>
      <c r="S205" s="15">
        <f t="shared" si="22"/>
        <v>45688</v>
      </c>
      <c r="T205" s="7" t="str">
        <f t="shared" si="23"/>
        <v>Elect-Keyb-P010</v>
      </c>
    </row>
    <row r="206" spans="1:20">
      <c r="A206" s="12" t="s">
        <v>357</v>
      </c>
      <c r="B206" s="13">
        <v>45692</v>
      </c>
      <c r="C206" s="12" t="s">
        <v>331</v>
      </c>
      <c r="D206" s="12" t="s">
        <v>332</v>
      </c>
      <c r="E206" s="12" t="s">
        <v>37</v>
      </c>
      <c r="F206" s="12" t="s">
        <v>38</v>
      </c>
      <c r="G206" s="12" t="s">
        <v>39</v>
      </c>
      <c r="H206" s="12">
        <v>1</v>
      </c>
      <c r="I206" s="14">
        <v>59.99</v>
      </c>
      <c r="J206" s="12" t="s">
        <v>63</v>
      </c>
      <c r="K206" s="12" t="s">
        <v>27</v>
      </c>
      <c r="L206" s="12" t="s">
        <v>42</v>
      </c>
      <c r="M206" s="13">
        <v>45045</v>
      </c>
      <c r="N206" s="14">
        <v>59.99</v>
      </c>
      <c r="O206" s="15">
        <f t="shared" ca="1" si="18"/>
        <v>46312</v>
      </c>
      <c r="P206" s="16">
        <f t="shared" ca="1" si="19"/>
        <v>46312.46113171296</v>
      </c>
      <c r="Q206" s="17">
        <f t="shared" ca="1" si="20"/>
        <v>3</v>
      </c>
      <c r="R206" s="7">
        <f t="shared" ca="1" si="21"/>
        <v>41</v>
      </c>
      <c r="S206" s="15">
        <f t="shared" si="22"/>
        <v>45716</v>
      </c>
      <c r="T206" s="7" t="str">
        <f t="shared" si="23"/>
        <v>Appli-Blen-P005</v>
      </c>
    </row>
    <row r="207" spans="1:20">
      <c r="A207" s="12" t="s">
        <v>358</v>
      </c>
      <c r="B207" s="13">
        <v>45695</v>
      </c>
      <c r="C207" s="12" t="s">
        <v>252</v>
      </c>
      <c r="D207" s="12" t="s">
        <v>253</v>
      </c>
      <c r="E207" s="12" t="s">
        <v>50</v>
      </c>
      <c r="F207" s="12" t="s">
        <v>51</v>
      </c>
      <c r="G207" s="12" t="s">
        <v>52</v>
      </c>
      <c r="H207" s="12">
        <v>3</v>
      </c>
      <c r="I207" s="14">
        <v>149.99</v>
      </c>
      <c r="J207" s="12" t="s">
        <v>63</v>
      </c>
      <c r="K207" s="12" t="s">
        <v>46</v>
      </c>
      <c r="L207" s="12" t="s">
        <v>33</v>
      </c>
      <c r="M207" s="13">
        <v>44564</v>
      </c>
      <c r="N207" s="14">
        <v>449.97</v>
      </c>
      <c r="O207" s="15">
        <f t="shared" ca="1" si="18"/>
        <v>46312</v>
      </c>
      <c r="P207" s="16">
        <f t="shared" ca="1" si="19"/>
        <v>46312.46113171296</v>
      </c>
      <c r="Q207" s="17">
        <f t="shared" ca="1" si="20"/>
        <v>4</v>
      </c>
      <c r="R207" s="7">
        <f t="shared" ca="1" si="21"/>
        <v>57</v>
      </c>
      <c r="S207" s="15">
        <f t="shared" si="22"/>
        <v>45716</v>
      </c>
      <c r="T207" s="7" t="str">
        <f t="shared" si="23"/>
        <v>Furni-Book-P008</v>
      </c>
    </row>
    <row r="208" spans="1:20">
      <c r="A208" s="12" t="s">
        <v>359</v>
      </c>
      <c r="B208" s="13">
        <v>45695</v>
      </c>
      <c r="C208" s="12" t="s">
        <v>99</v>
      </c>
      <c r="D208" s="12" t="s">
        <v>100</v>
      </c>
      <c r="E208" s="12" t="s">
        <v>111</v>
      </c>
      <c r="F208" s="12" t="s">
        <v>112</v>
      </c>
      <c r="G208" s="12" t="s">
        <v>52</v>
      </c>
      <c r="H208" s="12">
        <v>5</v>
      </c>
      <c r="I208" s="14">
        <v>299.99</v>
      </c>
      <c r="J208" s="12" t="s">
        <v>32</v>
      </c>
      <c r="K208" s="12" t="s">
        <v>41</v>
      </c>
      <c r="L208" s="12" t="s">
        <v>28</v>
      </c>
      <c r="M208" s="13">
        <v>44959</v>
      </c>
      <c r="N208" s="14">
        <v>1499.95</v>
      </c>
      <c r="O208" s="15">
        <f t="shared" ca="1" si="18"/>
        <v>46312</v>
      </c>
      <c r="P208" s="16">
        <f t="shared" ca="1" si="19"/>
        <v>46312.46113171296</v>
      </c>
      <c r="Q208" s="17">
        <f t="shared" ca="1" si="20"/>
        <v>3</v>
      </c>
      <c r="R208" s="7">
        <f t="shared" ca="1" si="21"/>
        <v>44</v>
      </c>
      <c r="S208" s="15">
        <f t="shared" si="22"/>
        <v>45716</v>
      </c>
      <c r="T208" s="7" t="str">
        <f t="shared" si="23"/>
        <v>Furni-Desk-P007</v>
      </c>
    </row>
    <row r="209" spans="1:20">
      <c r="A209" s="12" t="s">
        <v>360</v>
      </c>
      <c r="B209" s="13">
        <v>45696</v>
      </c>
      <c r="C209" s="12" t="s">
        <v>156</v>
      </c>
      <c r="D209" s="12" t="s">
        <v>157</v>
      </c>
      <c r="E209" s="12" t="s">
        <v>37</v>
      </c>
      <c r="F209" s="12" t="s">
        <v>38</v>
      </c>
      <c r="G209" s="12" t="s">
        <v>39</v>
      </c>
      <c r="H209" s="12">
        <v>5</v>
      </c>
      <c r="I209" s="14">
        <v>59.99</v>
      </c>
      <c r="J209" s="12" t="s">
        <v>63</v>
      </c>
      <c r="K209" s="12" t="s">
        <v>27</v>
      </c>
      <c r="L209" s="12" t="s">
        <v>42</v>
      </c>
      <c r="M209" s="13">
        <v>45177</v>
      </c>
      <c r="N209" s="14">
        <v>299.95</v>
      </c>
      <c r="O209" s="15">
        <f t="shared" ca="1" si="18"/>
        <v>46312</v>
      </c>
      <c r="P209" s="16">
        <f t="shared" ca="1" si="19"/>
        <v>46312.46113171296</v>
      </c>
      <c r="Q209" s="17">
        <f t="shared" ca="1" si="20"/>
        <v>3</v>
      </c>
      <c r="R209" s="7">
        <f t="shared" ca="1" si="21"/>
        <v>37</v>
      </c>
      <c r="S209" s="15">
        <f t="shared" si="22"/>
        <v>45716</v>
      </c>
      <c r="T209" s="7" t="str">
        <f t="shared" si="23"/>
        <v>Appli-Blen-P005</v>
      </c>
    </row>
    <row r="210" spans="1:20">
      <c r="A210" s="12" t="s">
        <v>361</v>
      </c>
      <c r="B210" s="13">
        <v>45701</v>
      </c>
      <c r="C210" s="12" t="s">
        <v>114</v>
      </c>
      <c r="D210" s="12" t="s">
        <v>115</v>
      </c>
      <c r="E210" s="12" t="s">
        <v>120</v>
      </c>
      <c r="F210" s="12" t="s">
        <v>121</v>
      </c>
      <c r="G210" s="12" t="s">
        <v>39</v>
      </c>
      <c r="H210" s="12">
        <v>3</v>
      </c>
      <c r="I210" s="14">
        <v>79.989999999999995</v>
      </c>
      <c r="J210" s="12" t="s">
        <v>26</v>
      </c>
      <c r="K210" s="12" t="s">
        <v>69</v>
      </c>
      <c r="L210" s="12" t="s">
        <v>33</v>
      </c>
      <c r="M210" s="13">
        <v>44436</v>
      </c>
      <c r="N210" s="14">
        <v>239.97</v>
      </c>
      <c r="O210" s="15">
        <f t="shared" ca="1" si="18"/>
        <v>46312</v>
      </c>
      <c r="P210" s="16">
        <f t="shared" ca="1" si="19"/>
        <v>46312.46113171296</v>
      </c>
      <c r="Q210" s="17">
        <f t="shared" ca="1" si="20"/>
        <v>5</v>
      </c>
      <c r="R210" s="7">
        <f t="shared" ca="1" si="21"/>
        <v>61</v>
      </c>
      <c r="S210" s="15">
        <f t="shared" si="22"/>
        <v>45716</v>
      </c>
      <c r="T210" s="7" t="str">
        <f t="shared" si="23"/>
        <v>Appli-Coff-P004</v>
      </c>
    </row>
    <row r="211" spans="1:20">
      <c r="A211" s="12" t="s">
        <v>362</v>
      </c>
      <c r="B211" s="13">
        <v>45704</v>
      </c>
      <c r="C211" s="12" t="s">
        <v>35</v>
      </c>
      <c r="D211" s="12" t="s">
        <v>36</v>
      </c>
      <c r="E211" s="12" t="s">
        <v>132</v>
      </c>
      <c r="F211" s="12" t="s">
        <v>133</v>
      </c>
      <c r="G211" s="12" t="s">
        <v>52</v>
      </c>
      <c r="H211" s="12">
        <v>3</v>
      </c>
      <c r="I211" s="14">
        <v>199.99</v>
      </c>
      <c r="J211" s="12" t="s">
        <v>26</v>
      </c>
      <c r="K211" s="12" t="s">
        <v>27</v>
      </c>
      <c r="L211" s="12" t="s">
        <v>28</v>
      </c>
      <c r="M211" s="13">
        <v>44735</v>
      </c>
      <c r="N211" s="14">
        <v>599.97</v>
      </c>
      <c r="O211" s="15">
        <f t="shared" ca="1" si="18"/>
        <v>46312</v>
      </c>
      <c r="P211" s="16">
        <f t="shared" ca="1" si="19"/>
        <v>46312.46113171296</v>
      </c>
      <c r="Q211" s="17">
        <f t="shared" ca="1" si="20"/>
        <v>4</v>
      </c>
      <c r="R211" s="7">
        <f t="shared" ca="1" si="21"/>
        <v>51</v>
      </c>
      <c r="S211" s="15">
        <f t="shared" si="22"/>
        <v>45716</v>
      </c>
      <c r="T211" s="7" t="str">
        <f t="shared" si="23"/>
        <v>Furni-Offi-P006</v>
      </c>
    </row>
    <row r="212" spans="1:20">
      <c r="A212" s="12" t="s">
        <v>363</v>
      </c>
      <c r="B212" s="13">
        <v>45704</v>
      </c>
      <c r="C212" s="12" t="s">
        <v>21</v>
      </c>
      <c r="D212" s="12" t="s">
        <v>22</v>
      </c>
      <c r="E212" s="12" t="s">
        <v>123</v>
      </c>
      <c r="F212" s="12" t="s">
        <v>124</v>
      </c>
      <c r="G212" s="12" t="s">
        <v>25</v>
      </c>
      <c r="H212" s="12">
        <v>2</v>
      </c>
      <c r="I212" s="14">
        <v>89.99</v>
      </c>
      <c r="J212" s="12" t="s">
        <v>40</v>
      </c>
      <c r="K212" s="12" t="s">
        <v>27</v>
      </c>
      <c r="L212" s="12" t="s">
        <v>28</v>
      </c>
      <c r="M212" s="13">
        <v>45257</v>
      </c>
      <c r="N212" s="14">
        <v>179.98</v>
      </c>
      <c r="O212" s="15">
        <f t="shared" ca="1" si="18"/>
        <v>46312</v>
      </c>
      <c r="P212" s="16">
        <f t="shared" ca="1" si="19"/>
        <v>46312.46113171296</v>
      </c>
      <c r="Q212" s="17">
        <f t="shared" ca="1" si="20"/>
        <v>2</v>
      </c>
      <c r="R212" s="7">
        <f t="shared" ca="1" si="21"/>
        <v>34</v>
      </c>
      <c r="S212" s="15">
        <f t="shared" si="22"/>
        <v>45716</v>
      </c>
      <c r="T212" s="7" t="str">
        <f t="shared" si="23"/>
        <v>Elect-Keyb-P010</v>
      </c>
    </row>
    <row r="213" spans="1:20">
      <c r="A213" s="12" t="s">
        <v>364</v>
      </c>
      <c r="B213" s="13">
        <v>45705</v>
      </c>
      <c r="C213" s="12" t="s">
        <v>265</v>
      </c>
      <c r="D213" s="12" t="s">
        <v>266</v>
      </c>
      <c r="E213" s="12" t="s">
        <v>50</v>
      </c>
      <c r="F213" s="12" t="s">
        <v>51</v>
      </c>
      <c r="G213" s="12" t="s">
        <v>52</v>
      </c>
      <c r="H213" s="12">
        <v>2</v>
      </c>
      <c r="I213" s="14">
        <v>149.99</v>
      </c>
      <c r="J213" s="12" t="s">
        <v>26</v>
      </c>
      <c r="K213" s="12" t="s">
        <v>41</v>
      </c>
      <c r="L213" s="12" t="s">
        <v>33</v>
      </c>
      <c r="M213" s="13">
        <v>44728</v>
      </c>
      <c r="N213" s="14">
        <v>299.98</v>
      </c>
      <c r="O213" s="15">
        <f t="shared" ca="1" si="18"/>
        <v>46312</v>
      </c>
      <c r="P213" s="16">
        <f t="shared" ca="1" si="19"/>
        <v>46312.46113171296</v>
      </c>
      <c r="Q213" s="17">
        <f t="shared" ca="1" si="20"/>
        <v>4</v>
      </c>
      <c r="R213" s="7">
        <f t="shared" ca="1" si="21"/>
        <v>52</v>
      </c>
      <c r="S213" s="15">
        <f t="shared" si="22"/>
        <v>45716</v>
      </c>
      <c r="T213" s="7" t="str">
        <f t="shared" si="23"/>
        <v>Furni-Book-P008</v>
      </c>
    </row>
    <row r="214" spans="1:20">
      <c r="A214" s="12" t="s">
        <v>365</v>
      </c>
      <c r="B214" s="13">
        <v>45707</v>
      </c>
      <c r="C214" s="12" t="s">
        <v>129</v>
      </c>
      <c r="D214" s="12" t="s">
        <v>130</v>
      </c>
      <c r="E214" s="12" t="s">
        <v>86</v>
      </c>
      <c r="F214" s="12" t="s">
        <v>87</v>
      </c>
      <c r="G214" s="12" t="s">
        <v>25</v>
      </c>
      <c r="H214" s="12">
        <v>5</v>
      </c>
      <c r="I214" s="14">
        <v>699.99</v>
      </c>
      <c r="J214" s="12" t="s">
        <v>40</v>
      </c>
      <c r="K214" s="12" t="s">
        <v>41</v>
      </c>
      <c r="L214" s="12" t="s">
        <v>33</v>
      </c>
      <c r="M214" s="13">
        <v>45352</v>
      </c>
      <c r="N214" s="14">
        <v>3499.95</v>
      </c>
      <c r="O214" s="15">
        <f t="shared" ca="1" si="18"/>
        <v>46312</v>
      </c>
      <c r="P214" s="16">
        <f t="shared" ca="1" si="19"/>
        <v>46312.46113171296</v>
      </c>
      <c r="Q214" s="17">
        <f t="shared" ca="1" si="20"/>
        <v>2</v>
      </c>
      <c r="R214" s="7">
        <f t="shared" ca="1" si="21"/>
        <v>31</v>
      </c>
      <c r="S214" s="15">
        <f t="shared" si="22"/>
        <v>45716</v>
      </c>
      <c r="T214" s="7" t="str">
        <f t="shared" si="23"/>
        <v>Elect-Smar-P002</v>
      </c>
    </row>
    <row r="215" spans="1:20">
      <c r="A215" s="12" t="s">
        <v>366</v>
      </c>
      <c r="B215" s="13">
        <v>45707</v>
      </c>
      <c r="C215" s="12" t="s">
        <v>48</v>
      </c>
      <c r="D215" s="12" t="s">
        <v>49</v>
      </c>
      <c r="E215" s="12" t="s">
        <v>50</v>
      </c>
      <c r="F215" s="12" t="s">
        <v>51</v>
      </c>
      <c r="G215" s="12" t="s">
        <v>52</v>
      </c>
      <c r="H215" s="12">
        <v>3</v>
      </c>
      <c r="I215" s="14">
        <v>149.99</v>
      </c>
      <c r="J215" s="12" t="s">
        <v>40</v>
      </c>
      <c r="K215" s="12" t="s">
        <v>27</v>
      </c>
      <c r="L215" s="12" t="s">
        <v>42</v>
      </c>
      <c r="M215" s="13">
        <v>44633</v>
      </c>
      <c r="N215" s="14">
        <v>449.97</v>
      </c>
      <c r="O215" s="15">
        <f t="shared" ca="1" si="18"/>
        <v>46312</v>
      </c>
      <c r="P215" s="16">
        <f t="shared" ca="1" si="19"/>
        <v>46312.46113171296</v>
      </c>
      <c r="Q215" s="17">
        <f t="shared" ca="1" si="20"/>
        <v>4</v>
      </c>
      <c r="R215" s="7">
        <f t="shared" ca="1" si="21"/>
        <v>55</v>
      </c>
      <c r="S215" s="15">
        <f t="shared" si="22"/>
        <v>45716</v>
      </c>
      <c r="T215" s="7" t="str">
        <f t="shared" si="23"/>
        <v>Furni-Book-P008</v>
      </c>
    </row>
    <row r="216" spans="1:20">
      <c r="A216" s="12" t="s">
        <v>367</v>
      </c>
      <c r="B216" s="13">
        <v>45708</v>
      </c>
      <c r="C216" s="12" t="s">
        <v>102</v>
      </c>
      <c r="D216" s="12" t="s">
        <v>103</v>
      </c>
      <c r="E216" s="12" t="s">
        <v>67</v>
      </c>
      <c r="F216" s="12" t="s">
        <v>68</v>
      </c>
      <c r="G216" s="12" t="s">
        <v>25</v>
      </c>
      <c r="H216" s="12">
        <v>3</v>
      </c>
      <c r="I216" s="14">
        <v>899.99</v>
      </c>
      <c r="J216" s="12" t="s">
        <v>26</v>
      </c>
      <c r="K216" s="12" t="s">
        <v>69</v>
      </c>
      <c r="L216" s="12" t="s">
        <v>42</v>
      </c>
      <c r="M216" s="13">
        <v>44613</v>
      </c>
      <c r="N216" s="14">
        <v>2699.97</v>
      </c>
      <c r="O216" s="15">
        <f t="shared" ca="1" si="18"/>
        <v>46312</v>
      </c>
      <c r="P216" s="16">
        <f t="shared" ca="1" si="19"/>
        <v>46312.46113171296</v>
      </c>
      <c r="Q216" s="17">
        <f t="shared" ca="1" si="20"/>
        <v>4</v>
      </c>
      <c r="R216" s="7">
        <f t="shared" ca="1" si="21"/>
        <v>55</v>
      </c>
      <c r="S216" s="15">
        <f t="shared" si="22"/>
        <v>45716</v>
      </c>
      <c r="T216" s="7" t="str">
        <f t="shared" si="23"/>
        <v>Elect-Lapt-P001</v>
      </c>
    </row>
    <row r="217" spans="1:20">
      <c r="A217" s="12" t="s">
        <v>368</v>
      </c>
      <c r="B217" s="13">
        <v>45708</v>
      </c>
      <c r="C217" s="12" t="s">
        <v>198</v>
      </c>
      <c r="D217" s="12" t="s">
        <v>199</v>
      </c>
      <c r="E217" s="12" t="s">
        <v>132</v>
      </c>
      <c r="F217" s="12" t="s">
        <v>133</v>
      </c>
      <c r="G217" s="12" t="s">
        <v>52</v>
      </c>
      <c r="H217" s="12">
        <v>3</v>
      </c>
      <c r="I217" s="14">
        <v>199.99</v>
      </c>
      <c r="J217" s="12" t="s">
        <v>26</v>
      </c>
      <c r="K217" s="12" t="s">
        <v>56</v>
      </c>
      <c r="L217" s="12" t="s">
        <v>33</v>
      </c>
      <c r="M217" s="13">
        <v>44823</v>
      </c>
      <c r="N217" s="14">
        <v>599.97</v>
      </c>
      <c r="O217" s="15">
        <f t="shared" ca="1" si="18"/>
        <v>46312</v>
      </c>
      <c r="P217" s="16">
        <f t="shared" ca="1" si="19"/>
        <v>46312.46113171296</v>
      </c>
      <c r="Q217" s="17">
        <f t="shared" ca="1" si="20"/>
        <v>4</v>
      </c>
      <c r="R217" s="7">
        <f t="shared" ca="1" si="21"/>
        <v>48</v>
      </c>
      <c r="S217" s="15">
        <f t="shared" si="22"/>
        <v>45716</v>
      </c>
      <c r="T217" s="7" t="str">
        <f t="shared" si="23"/>
        <v>Furni-Offi-P006</v>
      </c>
    </row>
    <row r="218" spans="1:20">
      <c r="A218" s="12" t="s">
        <v>369</v>
      </c>
      <c r="B218" s="13">
        <v>45710</v>
      </c>
      <c r="C218" s="12" t="s">
        <v>61</v>
      </c>
      <c r="D218" s="12" t="s">
        <v>62</v>
      </c>
      <c r="E218" s="12" t="s">
        <v>111</v>
      </c>
      <c r="F218" s="12" t="s">
        <v>112</v>
      </c>
      <c r="G218" s="12" t="s">
        <v>52</v>
      </c>
      <c r="H218" s="12">
        <v>5</v>
      </c>
      <c r="I218" s="14">
        <v>299.99</v>
      </c>
      <c r="J218" s="12" t="s">
        <v>26</v>
      </c>
      <c r="K218" s="12" t="s">
        <v>56</v>
      </c>
      <c r="L218" s="12" t="s">
        <v>42</v>
      </c>
      <c r="M218" s="13">
        <v>45142</v>
      </c>
      <c r="N218" s="14">
        <v>1499.95</v>
      </c>
      <c r="O218" s="15">
        <f t="shared" ca="1" si="18"/>
        <v>46312</v>
      </c>
      <c r="P218" s="16">
        <f t="shared" ca="1" si="19"/>
        <v>46312.46113171296</v>
      </c>
      <c r="Q218" s="17">
        <f t="shared" ca="1" si="20"/>
        <v>3</v>
      </c>
      <c r="R218" s="7">
        <f t="shared" ca="1" si="21"/>
        <v>38</v>
      </c>
      <c r="S218" s="15">
        <f t="shared" si="22"/>
        <v>45716</v>
      </c>
      <c r="T218" s="7" t="str">
        <f t="shared" si="23"/>
        <v>Furni-Desk-P007</v>
      </c>
    </row>
    <row r="219" spans="1:20">
      <c r="A219" s="12" t="s">
        <v>370</v>
      </c>
      <c r="B219" s="13">
        <v>45710</v>
      </c>
      <c r="C219" s="12" t="s">
        <v>156</v>
      </c>
      <c r="D219" s="12" t="s">
        <v>157</v>
      </c>
      <c r="E219" s="12" t="s">
        <v>86</v>
      </c>
      <c r="F219" s="12" t="s">
        <v>87</v>
      </c>
      <c r="G219" s="12" t="s">
        <v>25</v>
      </c>
      <c r="H219" s="12">
        <v>1</v>
      </c>
      <c r="I219" s="14">
        <v>699.99</v>
      </c>
      <c r="J219" s="12" t="s">
        <v>40</v>
      </c>
      <c r="K219" s="12" t="s">
        <v>56</v>
      </c>
      <c r="L219" s="12" t="s">
        <v>28</v>
      </c>
      <c r="M219" s="13">
        <v>44934</v>
      </c>
      <c r="N219" s="14">
        <v>699.99</v>
      </c>
      <c r="O219" s="15">
        <f t="shared" ca="1" si="18"/>
        <v>46312</v>
      </c>
      <c r="P219" s="16">
        <f t="shared" ca="1" si="19"/>
        <v>46312.46113171296</v>
      </c>
      <c r="Q219" s="17">
        <f t="shared" ca="1" si="20"/>
        <v>3</v>
      </c>
      <c r="R219" s="7">
        <f t="shared" ca="1" si="21"/>
        <v>45</v>
      </c>
      <c r="S219" s="15">
        <f t="shared" si="22"/>
        <v>45716</v>
      </c>
      <c r="T219" s="7" t="str">
        <f t="shared" si="23"/>
        <v>Elect-Smar-P002</v>
      </c>
    </row>
    <row r="220" spans="1:20">
      <c r="A220" s="12" t="s">
        <v>371</v>
      </c>
      <c r="B220" s="13">
        <v>45711</v>
      </c>
      <c r="C220" s="12" t="s">
        <v>252</v>
      </c>
      <c r="D220" s="12" t="s">
        <v>253</v>
      </c>
      <c r="E220" s="12" t="s">
        <v>86</v>
      </c>
      <c r="F220" s="12" t="s">
        <v>87</v>
      </c>
      <c r="G220" s="12" t="s">
        <v>25</v>
      </c>
      <c r="H220" s="12">
        <v>1</v>
      </c>
      <c r="I220" s="14">
        <v>699.99</v>
      </c>
      <c r="J220" s="12" t="s">
        <v>26</v>
      </c>
      <c r="K220" s="12" t="s">
        <v>46</v>
      </c>
      <c r="L220" s="12" t="s">
        <v>33</v>
      </c>
      <c r="M220" s="13">
        <v>44583</v>
      </c>
      <c r="N220" s="14">
        <v>699.99</v>
      </c>
      <c r="O220" s="15">
        <f t="shared" ca="1" si="18"/>
        <v>46312</v>
      </c>
      <c r="P220" s="16">
        <f t="shared" ca="1" si="19"/>
        <v>46312.46113171296</v>
      </c>
      <c r="Q220" s="17">
        <f t="shared" ca="1" si="20"/>
        <v>4</v>
      </c>
      <c r="R220" s="7">
        <f t="shared" ca="1" si="21"/>
        <v>56</v>
      </c>
      <c r="S220" s="15">
        <f t="shared" si="22"/>
        <v>45716</v>
      </c>
      <c r="T220" s="7" t="str">
        <f t="shared" si="23"/>
        <v>Elect-Smar-P002</v>
      </c>
    </row>
    <row r="221" spans="1:20">
      <c r="A221" s="12" t="s">
        <v>372</v>
      </c>
      <c r="B221" s="13">
        <v>45711</v>
      </c>
      <c r="C221" s="12" t="s">
        <v>331</v>
      </c>
      <c r="D221" s="12" t="s">
        <v>332</v>
      </c>
      <c r="E221" s="12" t="s">
        <v>50</v>
      </c>
      <c r="F221" s="12" t="s">
        <v>51</v>
      </c>
      <c r="G221" s="12" t="s">
        <v>52</v>
      </c>
      <c r="H221" s="12">
        <v>4</v>
      </c>
      <c r="I221" s="14">
        <v>149.99</v>
      </c>
      <c r="J221" s="12" t="s">
        <v>40</v>
      </c>
      <c r="K221" s="12" t="s">
        <v>46</v>
      </c>
      <c r="L221" s="12" t="s">
        <v>33</v>
      </c>
      <c r="M221" s="13">
        <v>44412</v>
      </c>
      <c r="N221" s="14">
        <v>599.96</v>
      </c>
      <c r="O221" s="15">
        <f t="shared" ca="1" si="18"/>
        <v>46312</v>
      </c>
      <c r="P221" s="16">
        <f t="shared" ca="1" si="19"/>
        <v>46312.46113171296</v>
      </c>
      <c r="Q221" s="17">
        <f t="shared" ca="1" si="20"/>
        <v>5</v>
      </c>
      <c r="R221" s="7">
        <f t="shared" ca="1" si="21"/>
        <v>62</v>
      </c>
      <c r="S221" s="15">
        <f t="shared" si="22"/>
        <v>45716</v>
      </c>
      <c r="T221" s="7" t="str">
        <f t="shared" si="23"/>
        <v>Furni-Book-P008</v>
      </c>
    </row>
    <row r="222" spans="1:20">
      <c r="A222" s="12" t="s">
        <v>373</v>
      </c>
      <c r="B222" s="13">
        <v>45711</v>
      </c>
      <c r="C222" s="12" t="s">
        <v>217</v>
      </c>
      <c r="D222" s="12" t="s">
        <v>218</v>
      </c>
      <c r="E222" s="12" t="s">
        <v>123</v>
      </c>
      <c r="F222" s="12" t="s">
        <v>124</v>
      </c>
      <c r="G222" s="12" t="s">
        <v>25</v>
      </c>
      <c r="H222" s="12">
        <v>5</v>
      </c>
      <c r="I222" s="14">
        <v>89.99</v>
      </c>
      <c r="J222" s="12" t="s">
        <v>40</v>
      </c>
      <c r="K222" s="12" t="s">
        <v>56</v>
      </c>
      <c r="L222" s="12" t="s">
        <v>33</v>
      </c>
      <c r="M222" s="13">
        <v>45140</v>
      </c>
      <c r="N222" s="14">
        <v>449.95</v>
      </c>
      <c r="O222" s="15">
        <f t="shared" ca="1" si="18"/>
        <v>46312</v>
      </c>
      <c r="P222" s="16">
        <f t="shared" ca="1" si="19"/>
        <v>46312.46113171296</v>
      </c>
      <c r="Q222" s="17">
        <f t="shared" ca="1" si="20"/>
        <v>3</v>
      </c>
      <c r="R222" s="7">
        <f t="shared" ca="1" si="21"/>
        <v>38</v>
      </c>
      <c r="S222" s="15">
        <f t="shared" si="22"/>
        <v>45716</v>
      </c>
      <c r="T222" s="7" t="str">
        <f t="shared" si="23"/>
        <v>Elect-Keyb-P010</v>
      </c>
    </row>
    <row r="223" spans="1:20">
      <c r="A223" s="12" t="s">
        <v>374</v>
      </c>
      <c r="B223" s="13">
        <v>45712</v>
      </c>
      <c r="C223" s="12" t="s">
        <v>144</v>
      </c>
      <c r="D223" s="12" t="s">
        <v>145</v>
      </c>
      <c r="E223" s="12" t="s">
        <v>132</v>
      </c>
      <c r="F223" s="12" t="s">
        <v>133</v>
      </c>
      <c r="G223" s="12" t="s">
        <v>52</v>
      </c>
      <c r="H223" s="12">
        <v>2</v>
      </c>
      <c r="I223" s="14">
        <v>199.99</v>
      </c>
      <c r="J223" s="12" t="s">
        <v>26</v>
      </c>
      <c r="K223" s="12" t="s">
        <v>27</v>
      </c>
      <c r="L223" s="12" t="s">
        <v>33</v>
      </c>
      <c r="M223" s="13">
        <v>44573</v>
      </c>
      <c r="N223" s="14">
        <v>399.98</v>
      </c>
      <c r="O223" s="15">
        <f t="shared" ca="1" si="18"/>
        <v>46312</v>
      </c>
      <c r="P223" s="16">
        <f t="shared" ca="1" si="19"/>
        <v>46312.46113171296</v>
      </c>
      <c r="Q223" s="17">
        <f t="shared" ca="1" si="20"/>
        <v>4</v>
      </c>
      <c r="R223" s="7">
        <f t="shared" ca="1" si="21"/>
        <v>57</v>
      </c>
      <c r="S223" s="15">
        <f t="shared" si="22"/>
        <v>45716</v>
      </c>
      <c r="T223" s="7" t="str">
        <f t="shared" si="23"/>
        <v>Furni-Offi-P006</v>
      </c>
    </row>
    <row r="224" spans="1:20">
      <c r="A224" s="12" t="s">
        <v>375</v>
      </c>
      <c r="B224" s="13">
        <v>45715</v>
      </c>
      <c r="C224" s="12" t="s">
        <v>265</v>
      </c>
      <c r="D224" s="12" t="s">
        <v>266</v>
      </c>
      <c r="E224" s="12" t="s">
        <v>37</v>
      </c>
      <c r="F224" s="12" t="s">
        <v>38</v>
      </c>
      <c r="G224" s="12" t="s">
        <v>39</v>
      </c>
      <c r="H224" s="12">
        <v>4</v>
      </c>
      <c r="I224" s="14">
        <v>59.99</v>
      </c>
      <c r="J224" s="12" t="s">
        <v>26</v>
      </c>
      <c r="K224" s="12" t="s">
        <v>56</v>
      </c>
      <c r="L224" s="12" t="s">
        <v>42</v>
      </c>
      <c r="M224" s="13">
        <v>45070</v>
      </c>
      <c r="N224" s="14">
        <v>239.96</v>
      </c>
      <c r="O224" s="15">
        <f t="shared" ca="1" si="18"/>
        <v>46312</v>
      </c>
      <c r="P224" s="16">
        <f t="shared" ca="1" si="19"/>
        <v>46312.46113171296</v>
      </c>
      <c r="Q224" s="17">
        <f t="shared" ca="1" si="20"/>
        <v>3</v>
      </c>
      <c r="R224" s="7">
        <f t="shared" ca="1" si="21"/>
        <v>40</v>
      </c>
      <c r="S224" s="15">
        <f t="shared" si="22"/>
        <v>45716</v>
      </c>
      <c r="T224" s="7" t="str">
        <f t="shared" si="23"/>
        <v>Appli-Blen-P005</v>
      </c>
    </row>
    <row r="225" spans="1:20">
      <c r="A225" s="12" t="s">
        <v>376</v>
      </c>
      <c r="B225" s="13">
        <v>45715</v>
      </c>
      <c r="C225" s="12" t="s">
        <v>99</v>
      </c>
      <c r="D225" s="12" t="s">
        <v>100</v>
      </c>
      <c r="E225" s="12" t="s">
        <v>111</v>
      </c>
      <c r="F225" s="12" t="s">
        <v>112</v>
      </c>
      <c r="G225" s="12" t="s">
        <v>52</v>
      </c>
      <c r="H225" s="12">
        <v>2</v>
      </c>
      <c r="I225" s="14">
        <v>299.99</v>
      </c>
      <c r="J225" s="12" t="s">
        <v>40</v>
      </c>
      <c r="K225" s="12" t="s">
        <v>41</v>
      </c>
      <c r="L225" s="12" t="s">
        <v>28</v>
      </c>
      <c r="M225" s="13">
        <v>44576</v>
      </c>
      <c r="N225" s="14">
        <v>599.98</v>
      </c>
      <c r="O225" s="15">
        <f t="shared" ca="1" si="18"/>
        <v>46312</v>
      </c>
      <c r="P225" s="16">
        <f t="shared" ca="1" si="19"/>
        <v>46312.46113171296</v>
      </c>
      <c r="Q225" s="17">
        <f t="shared" ca="1" si="20"/>
        <v>4</v>
      </c>
      <c r="R225" s="7">
        <f t="shared" ca="1" si="21"/>
        <v>57</v>
      </c>
      <c r="S225" s="15">
        <f t="shared" si="22"/>
        <v>45716</v>
      </c>
      <c r="T225" s="7" t="str">
        <f t="shared" si="23"/>
        <v>Furni-Desk-P007</v>
      </c>
    </row>
    <row r="226" spans="1:20">
      <c r="A226" s="12" t="s">
        <v>377</v>
      </c>
      <c r="B226" s="13">
        <v>45718</v>
      </c>
      <c r="C226" s="12" t="s">
        <v>61</v>
      </c>
      <c r="D226" s="12" t="s">
        <v>62</v>
      </c>
      <c r="E226" s="12" t="s">
        <v>50</v>
      </c>
      <c r="F226" s="12" t="s">
        <v>51</v>
      </c>
      <c r="G226" s="12" t="s">
        <v>52</v>
      </c>
      <c r="H226" s="12">
        <v>2</v>
      </c>
      <c r="I226" s="14">
        <v>149.99</v>
      </c>
      <c r="J226" s="12" t="s">
        <v>26</v>
      </c>
      <c r="K226" s="12" t="s">
        <v>27</v>
      </c>
      <c r="L226" s="12" t="s">
        <v>28</v>
      </c>
      <c r="M226" s="13">
        <v>45068</v>
      </c>
      <c r="N226" s="14">
        <v>299.98</v>
      </c>
      <c r="O226" s="15">
        <f t="shared" ca="1" si="18"/>
        <v>46312</v>
      </c>
      <c r="P226" s="16">
        <f t="shared" ca="1" si="19"/>
        <v>46312.46113171296</v>
      </c>
      <c r="Q226" s="17">
        <f t="shared" ca="1" si="20"/>
        <v>3</v>
      </c>
      <c r="R226" s="7">
        <f t="shared" ca="1" si="21"/>
        <v>40</v>
      </c>
      <c r="S226" s="15">
        <f t="shared" si="22"/>
        <v>45747</v>
      </c>
      <c r="T226" s="7" t="str">
        <f t="shared" si="23"/>
        <v>Furni-Book-P008</v>
      </c>
    </row>
    <row r="227" spans="1:20">
      <c r="A227" s="12" t="s">
        <v>378</v>
      </c>
      <c r="B227" s="13">
        <v>45720</v>
      </c>
      <c r="C227" s="12" t="s">
        <v>232</v>
      </c>
      <c r="D227" s="12" t="s">
        <v>233</v>
      </c>
      <c r="E227" s="12" t="s">
        <v>86</v>
      </c>
      <c r="F227" s="12" t="s">
        <v>87</v>
      </c>
      <c r="G227" s="12" t="s">
        <v>25</v>
      </c>
      <c r="H227" s="12">
        <v>5</v>
      </c>
      <c r="I227" s="14">
        <v>699.99</v>
      </c>
      <c r="J227" s="12" t="s">
        <v>63</v>
      </c>
      <c r="K227" s="12" t="s">
        <v>69</v>
      </c>
      <c r="L227" s="12" t="s">
        <v>33</v>
      </c>
      <c r="M227" s="13">
        <v>45161</v>
      </c>
      <c r="N227" s="14">
        <v>3499.95</v>
      </c>
      <c r="O227" s="15">
        <f t="shared" ca="1" si="18"/>
        <v>46312</v>
      </c>
      <c r="P227" s="16">
        <f t="shared" ca="1" si="19"/>
        <v>46312.46113171296</v>
      </c>
      <c r="Q227" s="17">
        <f t="shared" ca="1" si="20"/>
        <v>3</v>
      </c>
      <c r="R227" s="7">
        <f t="shared" ca="1" si="21"/>
        <v>37</v>
      </c>
      <c r="S227" s="15">
        <f t="shared" si="22"/>
        <v>45747</v>
      </c>
      <c r="T227" s="7" t="str">
        <f t="shared" si="23"/>
        <v>Elect-Smar-P002</v>
      </c>
    </row>
    <row r="228" spans="1:20">
      <c r="A228" s="12" t="s">
        <v>379</v>
      </c>
      <c r="B228" s="13">
        <v>45721</v>
      </c>
      <c r="C228" s="12" t="s">
        <v>81</v>
      </c>
      <c r="D228" s="12" t="s">
        <v>82</v>
      </c>
      <c r="E228" s="12" t="s">
        <v>37</v>
      </c>
      <c r="F228" s="12" t="s">
        <v>38</v>
      </c>
      <c r="G228" s="12" t="s">
        <v>39</v>
      </c>
      <c r="H228" s="12">
        <v>5</v>
      </c>
      <c r="I228" s="14">
        <v>59.99</v>
      </c>
      <c r="J228" s="12" t="s">
        <v>26</v>
      </c>
      <c r="K228" s="12" t="s">
        <v>56</v>
      </c>
      <c r="L228" s="12" t="s">
        <v>33</v>
      </c>
      <c r="M228" s="13">
        <v>45291</v>
      </c>
      <c r="N228" s="14">
        <v>299.95</v>
      </c>
      <c r="O228" s="15">
        <f t="shared" ca="1" si="18"/>
        <v>46312</v>
      </c>
      <c r="P228" s="16">
        <f t="shared" ca="1" si="19"/>
        <v>46312.46113171296</v>
      </c>
      <c r="Q228" s="17">
        <f t="shared" ca="1" si="20"/>
        <v>2</v>
      </c>
      <c r="R228" s="7">
        <f t="shared" ca="1" si="21"/>
        <v>33</v>
      </c>
      <c r="S228" s="15">
        <f t="shared" si="22"/>
        <v>45747</v>
      </c>
      <c r="T228" s="7" t="str">
        <f t="shared" si="23"/>
        <v>Appli-Blen-P005</v>
      </c>
    </row>
    <row r="229" spans="1:20">
      <c r="A229" s="12" t="s">
        <v>380</v>
      </c>
      <c r="B229" s="13">
        <v>45723</v>
      </c>
      <c r="C229" s="12" t="s">
        <v>21</v>
      </c>
      <c r="D229" s="12" t="s">
        <v>22</v>
      </c>
      <c r="E229" s="12" t="s">
        <v>123</v>
      </c>
      <c r="F229" s="12" t="s">
        <v>124</v>
      </c>
      <c r="G229" s="12" t="s">
        <v>25</v>
      </c>
      <c r="H229" s="12">
        <v>2</v>
      </c>
      <c r="I229" s="14">
        <v>89.99</v>
      </c>
      <c r="J229" s="12" t="s">
        <v>32</v>
      </c>
      <c r="K229" s="12" t="s">
        <v>56</v>
      </c>
      <c r="L229" s="12" t="s">
        <v>33</v>
      </c>
      <c r="M229" s="13">
        <v>45295</v>
      </c>
      <c r="N229" s="14">
        <v>179.98</v>
      </c>
      <c r="O229" s="15">
        <f t="shared" ca="1" si="18"/>
        <v>46312</v>
      </c>
      <c r="P229" s="16">
        <f t="shared" ca="1" si="19"/>
        <v>46312.46113171296</v>
      </c>
      <c r="Q229" s="17">
        <f t="shared" ca="1" si="20"/>
        <v>2</v>
      </c>
      <c r="R229" s="7">
        <f t="shared" ca="1" si="21"/>
        <v>33</v>
      </c>
      <c r="S229" s="15">
        <f t="shared" si="22"/>
        <v>45747</v>
      </c>
      <c r="T229" s="7" t="str">
        <f t="shared" si="23"/>
        <v>Elect-Keyb-P010</v>
      </c>
    </row>
    <row r="230" spans="1:20">
      <c r="A230" s="12" t="s">
        <v>381</v>
      </c>
      <c r="B230" s="13">
        <v>45723</v>
      </c>
      <c r="C230" s="12" t="s">
        <v>126</v>
      </c>
      <c r="D230" s="12" t="s">
        <v>127</v>
      </c>
      <c r="E230" s="12" t="s">
        <v>23</v>
      </c>
      <c r="F230" s="12" t="s">
        <v>24</v>
      </c>
      <c r="G230" s="12" t="s">
        <v>25</v>
      </c>
      <c r="H230" s="12">
        <v>5</v>
      </c>
      <c r="I230" s="14">
        <v>249.99</v>
      </c>
      <c r="J230" s="12" t="s">
        <v>26</v>
      </c>
      <c r="K230" s="12" t="s">
        <v>69</v>
      </c>
      <c r="L230" s="12" t="s">
        <v>42</v>
      </c>
      <c r="M230" s="13">
        <v>44540</v>
      </c>
      <c r="N230" s="14">
        <v>1249.95</v>
      </c>
      <c r="O230" s="15">
        <f t="shared" ca="1" si="18"/>
        <v>46312</v>
      </c>
      <c r="P230" s="16">
        <f t="shared" ca="1" si="19"/>
        <v>46312.46113171296</v>
      </c>
      <c r="Q230" s="17">
        <f t="shared" ca="1" si="20"/>
        <v>4</v>
      </c>
      <c r="R230" s="7">
        <f t="shared" ca="1" si="21"/>
        <v>58</v>
      </c>
      <c r="S230" s="15">
        <f t="shared" si="22"/>
        <v>45747</v>
      </c>
      <c r="T230" s="7" t="str">
        <f t="shared" si="23"/>
        <v>Elect-Moni-P009</v>
      </c>
    </row>
    <row r="231" spans="1:20">
      <c r="A231" s="12" t="s">
        <v>382</v>
      </c>
      <c r="B231" s="13">
        <v>45724</v>
      </c>
      <c r="C231" s="12" t="s">
        <v>232</v>
      </c>
      <c r="D231" s="12" t="s">
        <v>233</v>
      </c>
      <c r="E231" s="12" t="s">
        <v>50</v>
      </c>
      <c r="F231" s="12" t="s">
        <v>51</v>
      </c>
      <c r="G231" s="12" t="s">
        <v>52</v>
      </c>
      <c r="H231" s="12">
        <v>2</v>
      </c>
      <c r="I231" s="14">
        <v>149.99</v>
      </c>
      <c r="J231" s="12" t="s">
        <v>40</v>
      </c>
      <c r="K231" s="12" t="s">
        <v>27</v>
      </c>
      <c r="L231" s="12" t="s">
        <v>33</v>
      </c>
      <c r="M231" s="13">
        <v>44632</v>
      </c>
      <c r="N231" s="14">
        <v>299.98</v>
      </c>
      <c r="O231" s="15">
        <f t="shared" ca="1" si="18"/>
        <v>46312</v>
      </c>
      <c r="P231" s="16">
        <f t="shared" ca="1" si="19"/>
        <v>46312.46113171296</v>
      </c>
      <c r="Q231" s="17">
        <f t="shared" ca="1" si="20"/>
        <v>4</v>
      </c>
      <c r="R231" s="7">
        <f t="shared" ca="1" si="21"/>
        <v>55</v>
      </c>
      <c r="S231" s="15">
        <f t="shared" si="22"/>
        <v>45747</v>
      </c>
      <c r="T231" s="7" t="str">
        <f t="shared" si="23"/>
        <v>Furni-Book-P008</v>
      </c>
    </row>
    <row r="232" spans="1:20">
      <c r="A232" s="12" t="s">
        <v>383</v>
      </c>
      <c r="B232" s="13">
        <v>45724</v>
      </c>
      <c r="C232" s="12" t="s">
        <v>150</v>
      </c>
      <c r="D232" s="12" t="s">
        <v>151</v>
      </c>
      <c r="E232" s="12" t="s">
        <v>67</v>
      </c>
      <c r="F232" s="12" t="s">
        <v>68</v>
      </c>
      <c r="G232" s="12" t="s">
        <v>25</v>
      </c>
      <c r="H232" s="12">
        <v>5</v>
      </c>
      <c r="I232" s="14">
        <v>899.99</v>
      </c>
      <c r="J232" s="12" t="s">
        <v>40</v>
      </c>
      <c r="K232" s="12" t="s">
        <v>69</v>
      </c>
      <c r="L232" s="12" t="s">
        <v>33</v>
      </c>
      <c r="M232" s="13">
        <v>45389</v>
      </c>
      <c r="N232" s="14">
        <v>4499.95</v>
      </c>
      <c r="O232" s="15">
        <f t="shared" ca="1" si="18"/>
        <v>46312</v>
      </c>
      <c r="P232" s="16">
        <f t="shared" ca="1" si="19"/>
        <v>46312.46113171296</v>
      </c>
      <c r="Q232" s="17">
        <f t="shared" ca="1" si="20"/>
        <v>2</v>
      </c>
      <c r="R232" s="7">
        <f t="shared" ca="1" si="21"/>
        <v>30</v>
      </c>
      <c r="S232" s="15">
        <f t="shared" si="22"/>
        <v>45747</v>
      </c>
      <c r="T232" s="7" t="str">
        <f t="shared" si="23"/>
        <v>Elect-Lapt-P001</v>
      </c>
    </row>
    <row r="233" spans="1:20">
      <c r="A233" s="12" t="s">
        <v>384</v>
      </c>
      <c r="B233" s="13">
        <v>45724</v>
      </c>
      <c r="C233" s="12" t="s">
        <v>61</v>
      </c>
      <c r="D233" s="12" t="s">
        <v>62</v>
      </c>
      <c r="E233" s="12" t="s">
        <v>50</v>
      </c>
      <c r="F233" s="12" t="s">
        <v>51</v>
      </c>
      <c r="G233" s="12" t="s">
        <v>52</v>
      </c>
      <c r="H233" s="12">
        <v>4</v>
      </c>
      <c r="I233" s="14">
        <v>149.99</v>
      </c>
      <c r="J233" s="12" t="s">
        <v>26</v>
      </c>
      <c r="K233" s="12" t="s">
        <v>27</v>
      </c>
      <c r="L233" s="12" t="s">
        <v>42</v>
      </c>
      <c r="M233" s="13">
        <v>45263</v>
      </c>
      <c r="N233" s="14">
        <v>599.96</v>
      </c>
      <c r="O233" s="15">
        <f t="shared" ca="1" si="18"/>
        <v>46312</v>
      </c>
      <c r="P233" s="16">
        <f t="shared" ca="1" si="19"/>
        <v>46312.46113171296</v>
      </c>
      <c r="Q233" s="17">
        <f t="shared" ca="1" si="20"/>
        <v>2</v>
      </c>
      <c r="R233" s="7">
        <f t="shared" ca="1" si="21"/>
        <v>34</v>
      </c>
      <c r="S233" s="15">
        <f t="shared" si="22"/>
        <v>45747</v>
      </c>
      <c r="T233" s="7" t="str">
        <f t="shared" si="23"/>
        <v>Furni-Book-P008</v>
      </c>
    </row>
    <row r="234" spans="1:20">
      <c r="A234" s="12" t="s">
        <v>385</v>
      </c>
      <c r="B234" s="13">
        <v>45726</v>
      </c>
      <c r="C234" s="12" t="s">
        <v>150</v>
      </c>
      <c r="D234" s="12" t="s">
        <v>151</v>
      </c>
      <c r="E234" s="12" t="s">
        <v>23</v>
      </c>
      <c r="F234" s="12" t="s">
        <v>24</v>
      </c>
      <c r="G234" s="12" t="s">
        <v>25</v>
      </c>
      <c r="H234" s="12">
        <v>1</v>
      </c>
      <c r="I234" s="14">
        <v>249.99</v>
      </c>
      <c r="J234" s="12" t="s">
        <v>26</v>
      </c>
      <c r="K234" s="12" t="s">
        <v>46</v>
      </c>
      <c r="L234" s="12" t="s">
        <v>42</v>
      </c>
      <c r="M234" s="13">
        <v>45117</v>
      </c>
      <c r="N234" s="14">
        <v>249.99</v>
      </c>
      <c r="O234" s="15">
        <f t="shared" ca="1" si="18"/>
        <v>46312</v>
      </c>
      <c r="P234" s="16">
        <f t="shared" ca="1" si="19"/>
        <v>46312.46113171296</v>
      </c>
      <c r="Q234" s="17">
        <f t="shared" ca="1" si="20"/>
        <v>3</v>
      </c>
      <c r="R234" s="7">
        <f t="shared" ca="1" si="21"/>
        <v>39</v>
      </c>
      <c r="S234" s="15">
        <f t="shared" si="22"/>
        <v>45747</v>
      </c>
      <c r="T234" s="7" t="str">
        <f t="shared" si="23"/>
        <v>Elect-Moni-P009</v>
      </c>
    </row>
    <row r="235" spans="1:20">
      <c r="A235" s="12" t="s">
        <v>386</v>
      </c>
      <c r="B235" s="13">
        <v>45734</v>
      </c>
      <c r="C235" s="12" t="s">
        <v>198</v>
      </c>
      <c r="D235" s="12" t="s">
        <v>199</v>
      </c>
      <c r="E235" s="12" t="s">
        <v>37</v>
      </c>
      <c r="F235" s="12" t="s">
        <v>38</v>
      </c>
      <c r="G235" s="12" t="s">
        <v>39</v>
      </c>
      <c r="H235" s="12">
        <v>2</v>
      </c>
      <c r="I235" s="14">
        <v>59.99</v>
      </c>
      <c r="J235" s="12" t="s">
        <v>32</v>
      </c>
      <c r="K235" s="12" t="s">
        <v>56</v>
      </c>
      <c r="L235" s="12" t="s">
        <v>28</v>
      </c>
      <c r="M235" s="13">
        <v>45193</v>
      </c>
      <c r="N235" s="14">
        <v>119.98</v>
      </c>
      <c r="O235" s="15">
        <f t="shared" ca="1" si="18"/>
        <v>46312</v>
      </c>
      <c r="P235" s="16">
        <f t="shared" ca="1" si="19"/>
        <v>46312.46113171296</v>
      </c>
      <c r="Q235" s="17">
        <f t="shared" ca="1" si="20"/>
        <v>3</v>
      </c>
      <c r="R235" s="7">
        <f t="shared" ca="1" si="21"/>
        <v>36</v>
      </c>
      <c r="S235" s="15">
        <f t="shared" si="22"/>
        <v>45747</v>
      </c>
      <c r="T235" s="7" t="str">
        <f t="shared" si="23"/>
        <v>Appli-Blen-P005</v>
      </c>
    </row>
    <row r="236" spans="1:20">
      <c r="A236" s="12" t="s">
        <v>387</v>
      </c>
      <c r="B236" s="13">
        <v>45737</v>
      </c>
      <c r="C236" s="12" t="s">
        <v>138</v>
      </c>
      <c r="D236" s="12" t="s">
        <v>139</v>
      </c>
      <c r="E236" s="12" t="s">
        <v>50</v>
      </c>
      <c r="F236" s="12" t="s">
        <v>51</v>
      </c>
      <c r="G236" s="12" t="s">
        <v>52</v>
      </c>
      <c r="H236" s="12">
        <v>2</v>
      </c>
      <c r="I236" s="14">
        <v>149.99</v>
      </c>
      <c r="J236" s="12" t="s">
        <v>26</v>
      </c>
      <c r="K236" s="12" t="s">
        <v>56</v>
      </c>
      <c r="L236" s="12" t="s">
        <v>33</v>
      </c>
      <c r="M236" s="13">
        <v>45233</v>
      </c>
      <c r="N236" s="14">
        <v>299.98</v>
      </c>
      <c r="O236" s="15">
        <f t="shared" ca="1" si="18"/>
        <v>46312</v>
      </c>
      <c r="P236" s="16">
        <f t="shared" ca="1" si="19"/>
        <v>46312.46113171296</v>
      </c>
      <c r="Q236" s="17">
        <f t="shared" ca="1" si="20"/>
        <v>2</v>
      </c>
      <c r="R236" s="7">
        <f t="shared" ca="1" si="21"/>
        <v>35</v>
      </c>
      <c r="S236" s="15">
        <f t="shared" si="22"/>
        <v>45747</v>
      </c>
      <c r="T236" s="7" t="str">
        <f t="shared" si="23"/>
        <v>Furni-Book-P008</v>
      </c>
    </row>
    <row r="237" spans="1:20">
      <c r="A237" s="12" t="s">
        <v>388</v>
      </c>
      <c r="B237" s="13">
        <v>45737</v>
      </c>
      <c r="C237" s="12" t="s">
        <v>156</v>
      </c>
      <c r="D237" s="12" t="s">
        <v>157</v>
      </c>
      <c r="E237" s="12" t="s">
        <v>67</v>
      </c>
      <c r="F237" s="12" t="s">
        <v>68</v>
      </c>
      <c r="G237" s="12" t="s">
        <v>25</v>
      </c>
      <c r="H237" s="12">
        <v>3</v>
      </c>
      <c r="I237" s="14">
        <v>899.99</v>
      </c>
      <c r="J237" s="12" t="s">
        <v>63</v>
      </c>
      <c r="K237" s="12" t="s">
        <v>46</v>
      </c>
      <c r="L237" s="12" t="s">
        <v>33</v>
      </c>
      <c r="M237" s="13">
        <v>44876</v>
      </c>
      <c r="N237" s="14">
        <v>2699.97</v>
      </c>
      <c r="O237" s="15">
        <f t="shared" ca="1" si="18"/>
        <v>46312</v>
      </c>
      <c r="P237" s="16">
        <f t="shared" ca="1" si="19"/>
        <v>46312.46113171296</v>
      </c>
      <c r="Q237" s="17">
        <f t="shared" ca="1" si="20"/>
        <v>3</v>
      </c>
      <c r="R237" s="7">
        <f t="shared" ca="1" si="21"/>
        <v>47</v>
      </c>
      <c r="S237" s="15">
        <f t="shared" si="22"/>
        <v>45747</v>
      </c>
      <c r="T237" s="7" t="str">
        <f t="shared" si="23"/>
        <v>Elect-Lapt-P001</v>
      </c>
    </row>
    <row r="238" spans="1:20">
      <c r="A238" s="12" t="s">
        <v>389</v>
      </c>
      <c r="B238" s="13">
        <v>45737</v>
      </c>
      <c r="C238" s="12" t="s">
        <v>54</v>
      </c>
      <c r="D238" s="12" t="s">
        <v>55</v>
      </c>
      <c r="E238" s="12" t="s">
        <v>67</v>
      </c>
      <c r="F238" s="12" t="s">
        <v>68</v>
      </c>
      <c r="G238" s="12" t="s">
        <v>25</v>
      </c>
      <c r="H238" s="12">
        <v>3</v>
      </c>
      <c r="I238" s="14">
        <v>899.99</v>
      </c>
      <c r="J238" s="12" t="s">
        <v>40</v>
      </c>
      <c r="K238" s="12" t="s">
        <v>46</v>
      </c>
      <c r="L238" s="12" t="s">
        <v>28</v>
      </c>
      <c r="M238" s="13">
        <v>44975</v>
      </c>
      <c r="N238" s="14">
        <v>2699.97</v>
      </c>
      <c r="O238" s="15">
        <f t="shared" ca="1" si="18"/>
        <v>46312</v>
      </c>
      <c r="P238" s="16">
        <f t="shared" ca="1" si="19"/>
        <v>46312.46113171296</v>
      </c>
      <c r="Q238" s="17">
        <f t="shared" ca="1" si="20"/>
        <v>3</v>
      </c>
      <c r="R238" s="7">
        <f t="shared" ca="1" si="21"/>
        <v>43</v>
      </c>
      <c r="S238" s="15">
        <f t="shared" si="22"/>
        <v>45747</v>
      </c>
      <c r="T238" s="7" t="str">
        <f t="shared" si="23"/>
        <v>Elect-Lapt-P001</v>
      </c>
    </row>
    <row r="239" spans="1:20">
      <c r="A239" s="12" t="s">
        <v>390</v>
      </c>
      <c r="B239" s="13">
        <v>45739</v>
      </c>
      <c r="C239" s="12" t="s">
        <v>21</v>
      </c>
      <c r="D239" s="12" t="s">
        <v>22</v>
      </c>
      <c r="E239" s="12" t="s">
        <v>111</v>
      </c>
      <c r="F239" s="12" t="s">
        <v>112</v>
      </c>
      <c r="G239" s="12" t="s">
        <v>52</v>
      </c>
      <c r="H239" s="12">
        <v>3</v>
      </c>
      <c r="I239" s="14">
        <v>299.99</v>
      </c>
      <c r="J239" s="12" t="s">
        <v>32</v>
      </c>
      <c r="K239" s="12" t="s">
        <v>56</v>
      </c>
      <c r="L239" s="12" t="s">
        <v>33</v>
      </c>
      <c r="M239" s="13">
        <v>45234</v>
      </c>
      <c r="N239" s="14">
        <v>899.97</v>
      </c>
      <c r="O239" s="15">
        <f t="shared" ca="1" si="18"/>
        <v>46312</v>
      </c>
      <c r="P239" s="16">
        <f t="shared" ca="1" si="19"/>
        <v>46312.46113171296</v>
      </c>
      <c r="Q239" s="17">
        <f t="shared" ca="1" si="20"/>
        <v>2</v>
      </c>
      <c r="R239" s="7">
        <f t="shared" ca="1" si="21"/>
        <v>35</v>
      </c>
      <c r="S239" s="15">
        <f t="shared" si="22"/>
        <v>45747</v>
      </c>
      <c r="T239" s="7" t="str">
        <f t="shared" si="23"/>
        <v>Furni-Desk-P007</v>
      </c>
    </row>
    <row r="240" spans="1:20">
      <c r="A240" s="12" t="s">
        <v>391</v>
      </c>
      <c r="B240" s="13">
        <v>45740</v>
      </c>
      <c r="C240" s="12" t="s">
        <v>392</v>
      </c>
      <c r="D240" s="12" t="s">
        <v>393</v>
      </c>
      <c r="E240" s="12" t="s">
        <v>50</v>
      </c>
      <c r="F240" s="12" t="s">
        <v>51</v>
      </c>
      <c r="G240" s="12" t="s">
        <v>52</v>
      </c>
      <c r="H240" s="12">
        <v>4</v>
      </c>
      <c r="I240" s="14">
        <v>149.99</v>
      </c>
      <c r="J240" s="12" t="s">
        <v>40</v>
      </c>
      <c r="K240" s="12" t="s">
        <v>56</v>
      </c>
      <c r="L240" s="12" t="s">
        <v>42</v>
      </c>
      <c r="M240" s="13">
        <v>44560</v>
      </c>
      <c r="N240" s="14">
        <v>599.96</v>
      </c>
      <c r="O240" s="15">
        <f t="shared" ca="1" si="18"/>
        <v>46312</v>
      </c>
      <c r="P240" s="16">
        <f t="shared" ca="1" si="19"/>
        <v>46312.46113171296</v>
      </c>
      <c r="Q240" s="17">
        <f t="shared" ca="1" si="20"/>
        <v>4</v>
      </c>
      <c r="R240" s="7">
        <f t="shared" ca="1" si="21"/>
        <v>57</v>
      </c>
      <c r="S240" s="15">
        <f t="shared" si="22"/>
        <v>45747</v>
      </c>
      <c r="T240" s="7" t="str">
        <f t="shared" si="23"/>
        <v>Furni-Book-P008</v>
      </c>
    </row>
    <row r="241" spans="1:20">
      <c r="A241" s="12" t="s">
        <v>394</v>
      </c>
      <c r="B241" s="13">
        <v>45743</v>
      </c>
      <c r="C241" s="12" t="s">
        <v>108</v>
      </c>
      <c r="D241" s="12" t="s">
        <v>109</v>
      </c>
      <c r="E241" s="12" t="s">
        <v>120</v>
      </c>
      <c r="F241" s="12" t="s">
        <v>121</v>
      </c>
      <c r="G241" s="12" t="s">
        <v>39</v>
      </c>
      <c r="H241" s="12">
        <v>4</v>
      </c>
      <c r="I241" s="14">
        <v>79.989999999999995</v>
      </c>
      <c r="J241" s="12" t="s">
        <v>32</v>
      </c>
      <c r="K241" s="12" t="s">
        <v>27</v>
      </c>
      <c r="L241" s="12" t="s">
        <v>28</v>
      </c>
      <c r="M241" s="13">
        <v>45288</v>
      </c>
      <c r="N241" s="14">
        <v>319.95999999999998</v>
      </c>
      <c r="O241" s="15">
        <f t="shared" ca="1" si="18"/>
        <v>46312</v>
      </c>
      <c r="P241" s="16">
        <f t="shared" ca="1" si="19"/>
        <v>46312.46113171296</v>
      </c>
      <c r="Q241" s="17">
        <f t="shared" ca="1" si="20"/>
        <v>2</v>
      </c>
      <c r="R241" s="7">
        <f t="shared" ca="1" si="21"/>
        <v>33</v>
      </c>
      <c r="S241" s="15">
        <f t="shared" si="22"/>
        <v>45747</v>
      </c>
      <c r="T241" s="7" t="str">
        <f t="shared" si="23"/>
        <v>Appli-Coff-P004</v>
      </c>
    </row>
    <row r="242" spans="1:20">
      <c r="A242" s="12" t="s">
        <v>395</v>
      </c>
      <c r="B242" s="13">
        <v>45745</v>
      </c>
      <c r="C242" s="12" t="s">
        <v>191</v>
      </c>
      <c r="D242" s="12" t="s">
        <v>192</v>
      </c>
      <c r="E242" s="12" t="s">
        <v>123</v>
      </c>
      <c r="F242" s="12" t="s">
        <v>124</v>
      </c>
      <c r="G242" s="12" t="s">
        <v>25</v>
      </c>
      <c r="H242" s="12">
        <v>5</v>
      </c>
      <c r="I242" s="14">
        <v>89.99</v>
      </c>
      <c r="J242" s="12" t="s">
        <v>40</v>
      </c>
      <c r="K242" s="12" t="s">
        <v>41</v>
      </c>
      <c r="L242" s="12" t="s">
        <v>28</v>
      </c>
      <c r="M242" s="13">
        <v>44704</v>
      </c>
      <c r="N242" s="14">
        <v>449.95</v>
      </c>
      <c r="O242" s="15">
        <f t="shared" ca="1" si="18"/>
        <v>46312</v>
      </c>
      <c r="P242" s="16">
        <f t="shared" ca="1" si="19"/>
        <v>46312.46113171296</v>
      </c>
      <c r="Q242" s="17">
        <f t="shared" ca="1" si="20"/>
        <v>4</v>
      </c>
      <c r="R242" s="7">
        <f t="shared" ca="1" si="21"/>
        <v>52</v>
      </c>
      <c r="S242" s="15">
        <f t="shared" si="22"/>
        <v>45747</v>
      </c>
      <c r="T242" s="7" t="str">
        <f t="shared" si="23"/>
        <v>Elect-Keyb-P010</v>
      </c>
    </row>
    <row r="243" spans="1:20">
      <c r="A243" s="12" t="s">
        <v>396</v>
      </c>
      <c r="B243" s="13">
        <v>45746</v>
      </c>
      <c r="C243" s="12" t="s">
        <v>99</v>
      </c>
      <c r="D243" s="12" t="s">
        <v>100</v>
      </c>
      <c r="E243" s="12" t="s">
        <v>50</v>
      </c>
      <c r="F243" s="12" t="s">
        <v>51</v>
      </c>
      <c r="G243" s="12" t="s">
        <v>52</v>
      </c>
      <c r="H243" s="12">
        <v>3</v>
      </c>
      <c r="I243" s="14">
        <v>149.99</v>
      </c>
      <c r="J243" s="12" t="s">
        <v>40</v>
      </c>
      <c r="K243" s="12" t="s">
        <v>27</v>
      </c>
      <c r="L243" s="12" t="s">
        <v>42</v>
      </c>
      <c r="M243" s="13">
        <v>45171</v>
      </c>
      <c r="N243" s="14">
        <v>449.97</v>
      </c>
      <c r="O243" s="15">
        <f t="shared" ca="1" si="18"/>
        <v>46312</v>
      </c>
      <c r="P243" s="16">
        <f t="shared" ca="1" si="19"/>
        <v>46312.46113171296</v>
      </c>
      <c r="Q243" s="17">
        <f t="shared" ca="1" si="20"/>
        <v>3</v>
      </c>
      <c r="R243" s="7">
        <f t="shared" ca="1" si="21"/>
        <v>37</v>
      </c>
      <c r="S243" s="15">
        <f t="shared" si="22"/>
        <v>45747</v>
      </c>
      <c r="T243" s="7" t="str">
        <f t="shared" si="23"/>
        <v>Furni-Book-P008</v>
      </c>
    </row>
    <row r="244" spans="1:20">
      <c r="A244" s="12" t="s">
        <v>397</v>
      </c>
      <c r="B244" s="13">
        <v>45746</v>
      </c>
      <c r="C244" s="12" t="s">
        <v>71</v>
      </c>
      <c r="D244" s="12" t="s">
        <v>72</v>
      </c>
      <c r="E244" s="12" t="s">
        <v>123</v>
      </c>
      <c r="F244" s="12" t="s">
        <v>124</v>
      </c>
      <c r="G244" s="12" t="s">
        <v>25</v>
      </c>
      <c r="H244" s="12">
        <v>2</v>
      </c>
      <c r="I244" s="14">
        <v>89.99</v>
      </c>
      <c r="J244" s="12" t="s">
        <v>63</v>
      </c>
      <c r="K244" s="12" t="s">
        <v>56</v>
      </c>
      <c r="L244" s="12" t="s">
        <v>33</v>
      </c>
      <c r="M244" s="13">
        <v>44522</v>
      </c>
      <c r="N244" s="14">
        <v>179.98</v>
      </c>
      <c r="O244" s="15">
        <f t="shared" ca="1" si="18"/>
        <v>46312</v>
      </c>
      <c r="P244" s="16">
        <f t="shared" ca="1" si="19"/>
        <v>46312.46113171296</v>
      </c>
      <c r="Q244" s="17">
        <f t="shared" ca="1" si="20"/>
        <v>4</v>
      </c>
      <c r="R244" s="7">
        <f t="shared" ca="1" si="21"/>
        <v>58</v>
      </c>
      <c r="S244" s="15">
        <f t="shared" si="22"/>
        <v>45747</v>
      </c>
      <c r="T244" s="7" t="str">
        <f t="shared" si="23"/>
        <v>Elect-Keyb-P010</v>
      </c>
    </row>
    <row r="245" spans="1:20">
      <c r="A245" s="12" t="s">
        <v>398</v>
      </c>
      <c r="B245" s="13">
        <v>45748</v>
      </c>
      <c r="C245" s="12" t="s">
        <v>108</v>
      </c>
      <c r="D245" s="12" t="s">
        <v>109</v>
      </c>
      <c r="E245" s="12" t="s">
        <v>86</v>
      </c>
      <c r="F245" s="12" t="s">
        <v>87</v>
      </c>
      <c r="G245" s="12" t="s">
        <v>25</v>
      </c>
      <c r="H245" s="12">
        <v>2</v>
      </c>
      <c r="I245" s="14">
        <v>699.99</v>
      </c>
      <c r="J245" s="12" t="s">
        <v>40</v>
      </c>
      <c r="K245" s="12" t="s">
        <v>46</v>
      </c>
      <c r="L245" s="12" t="s">
        <v>42</v>
      </c>
      <c r="M245" s="13">
        <v>44618</v>
      </c>
      <c r="N245" s="14">
        <v>1399.98</v>
      </c>
      <c r="O245" s="15">
        <f t="shared" ca="1" si="18"/>
        <v>46312</v>
      </c>
      <c r="P245" s="16">
        <f t="shared" ca="1" si="19"/>
        <v>46312.46113171296</v>
      </c>
      <c r="Q245" s="17">
        <f t="shared" ca="1" si="20"/>
        <v>4</v>
      </c>
      <c r="R245" s="7">
        <f t="shared" ca="1" si="21"/>
        <v>55</v>
      </c>
      <c r="S245" s="15">
        <f t="shared" si="22"/>
        <v>45777</v>
      </c>
      <c r="T245" s="7" t="str">
        <f t="shared" si="23"/>
        <v>Elect-Smar-P002</v>
      </c>
    </row>
    <row r="246" spans="1:20">
      <c r="A246" s="12" t="s">
        <v>399</v>
      </c>
      <c r="B246" s="13">
        <v>45749</v>
      </c>
      <c r="C246" s="12" t="s">
        <v>129</v>
      </c>
      <c r="D246" s="12" t="s">
        <v>130</v>
      </c>
      <c r="E246" s="12" t="s">
        <v>67</v>
      </c>
      <c r="F246" s="12" t="s">
        <v>68</v>
      </c>
      <c r="G246" s="12" t="s">
        <v>25</v>
      </c>
      <c r="H246" s="12">
        <v>3</v>
      </c>
      <c r="I246" s="14">
        <v>899.99</v>
      </c>
      <c r="J246" s="12" t="s">
        <v>26</v>
      </c>
      <c r="K246" s="12" t="s">
        <v>27</v>
      </c>
      <c r="L246" s="12" t="s">
        <v>42</v>
      </c>
      <c r="M246" s="13">
        <v>44953</v>
      </c>
      <c r="N246" s="14">
        <v>2699.97</v>
      </c>
      <c r="O246" s="15">
        <f t="shared" ca="1" si="18"/>
        <v>46312</v>
      </c>
      <c r="P246" s="16">
        <f t="shared" ca="1" si="19"/>
        <v>46312.46113171296</v>
      </c>
      <c r="Q246" s="17">
        <f t="shared" ca="1" si="20"/>
        <v>3</v>
      </c>
      <c r="R246" s="7">
        <f t="shared" ca="1" si="21"/>
        <v>44</v>
      </c>
      <c r="S246" s="15">
        <f t="shared" si="22"/>
        <v>45777</v>
      </c>
      <c r="T246" s="7" t="str">
        <f t="shared" si="23"/>
        <v>Elect-Lapt-P001</v>
      </c>
    </row>
    <row r="247" spans="1:20">
      <c r="A247" s="12" t="s">
        <v>400</v>
      </c>
      <c r="B247" s="13">
        <v>45755</v>
      </c>
      <c r="C247" s="12" t="s">
        <v>99</v>
      </c>
      <c r="D247" s="12" t="s">
        <v>100</v>
      </c>
      <c r="E247" s="12" t="s">
        <v>120</v>
      </c>
      <c r="F247" s="12" t="s">
        <v>121</v>
      </c>
      <c r="G247" s="12" t="s">
        <v>39</v>
      </c>
      <c r="H247" s="12">
        <v>3</v>
      </c>
      <c r="I247" s="14">
        <v>79.989999999999995</v>
      </c>
      <c r="J247" s="12" t="s">
        <v>32</v>
      </c>
      <c r="K247" s="12" t="s">
        <v>46</v>
      </c>
      <c r="L247" s="12" t="s">
        <v>28</v>
      </c>
      <c r="M247" s="13">
        <v>44511</v>
      </c>
      <c r="N247" s="14">
        <v>239.97</v>
      </c>
      <c r="O247" s="15">
        <f t="shared" ca="1" si="18"/>
        <v>46312</v>
      </c>
      <c r="P247" s="16">
        <f t="shared" ca="1" si="19"/>
        <v>46312.46113171296</v>
      </c>
      <c r="Q247" s="17">
        <f t="shared" ca="1" si="20"/>
        <v>4</v>
      </c>
      <c r="R247" s="7">
        <f t="shared" ca="1" si="21"/>
        <v>59</v>
      </c>
      <c r="S247" s="15">
        <f t="shared" si="22"/>
        <v>45777</v>
      </c>
      <c r="T247" s="7" t="str">
        <f t="shared" si="23"/>
        <v>Appli-Coff-P004</v>
      </c>
    </row>
    <row r="248" spans="1:20">
      <c r="A248" s="12" t="s">
        <v>401</v>
      </c>
      <c r="B248" s="13">
        <v>45756</v>
      </c>
      <c r="C248" s="12" t="s">
        <v>65</v>
      </c>
      <c r="D248" s="12" t="s">
        <v>66</v>
      </c>
      <c r="E248" s="12" t="s">
        <v>123</v>
      </c>
      <c r="F248" s="12" t="s">
        <v>124</v>
      </c>
      <c r="G248" s="12" t="s">
        <v>25</v>
      </c>
      <c r="H248" s="12">
        <v>1</v>
      </c>
      <c r="I248" s="14">
        <v>89.99</v>
      </c>
      <c r="J248" s="12" t="s">
        <v>63</v>
      </c>
      <c r="K248" s="12" t="s">
        <v>69</v>
      </c>
      <c r="L248" s="12" t="s">
        <v>28</v>
      </c>
      <c r="M248" s="13">
        <v>45346</v>
      </c>
      <c r="N248" s="14">
        <v>89.99</v>
      </c>
      <c r="O248" s="15">
        <f t="shared" ca="1" si="18"/>
        <v>46312</v>
      </c>
      <c r="P248" s="16">
        <f t="shared" ca="1" si="19"/>
        <v>46312.46113171296</v>
      </c>
      <c r="Q248" s="17">
        <f t="shared" ca="1" si="20"/>
        <v>2</v>
      </c>
      <c r="R248" s="7">
        <f t="shared" ca="1" si="21"/>
        <v>31</v>
      </c>
      <c r="S248" s="15">
        <f t="shared" si="22"/>
        <v>45777</v>
      </c>
      <c r="T248" s="7" t="str">
        <f t="shared" si="23"/>
        <v>Elect-Keyb-P010</v>
      </c>
    </row>
    <row r="249" spans="1:20">
      <c r="A249" s="12" t="s">
        <v>402</v>
      </c>
      <c r="B249" s="13">
        <v>45758</v>
      </c>
      <c r="C249" s="12" t="s">
        <v>299</v>
      </c>
      <c r="D249" s="12" t="s">
        <v>300</v>
      </c>
      <c r="E249" s="12" t="s">
        <v>86</v>
      </c>
      <c r="F249" s="12" t="s">
        <v>87</v>
      </c>
      <c r="G249" s="12" t="s">
        <v>25</v>
      </c>
      <c r="H249" s="12">
        <v>3</v>
      </c>
      <c r="I249" s="14">
        <v>699.99</v>
      </c>
      <c r="J249" s="12" t="s">
        <v>40</v>
      </c>
      <c r="K249" s="12" t="s">
        <v>46</v>
      </c>
      <c r="L249" s="12" t="s">
        <v>28</v>
      </c>
      <c r="M249" s="13">
        <v>44909</v>
      </c>
      <c r="N249" s="14">
        <v>2099.9699999999998</v>
      </c>
      <c r="O249" s="15">
        <f t="shared" ca="1" si="18"/>
        <v>46312</v>
      </c>
      <c r="P249" s="16">
        <f t="shared" ca="1" si="19"/>
        <v>46312.46113171296</v>
      </c>
      <c r="Q249" s="17">
        <f t="shared" ca="1" si="20"/>
        <v>3</v>
      </c>
      <c r="R249" s="7">
        <f t="shared" ca="1" si="21"/>
        <v>46</v>
      </c>
      <c r="S249" s="15">
        <f t="shared" si="22"/>
        <v>45777</v>
      </c>
      <c r="T249" s="7" t="str">
        <f t="shared" si="23"/>
        <v>Elect-Smar-P002</v>
      </c>
    </row>
    <row r="250" spans="1:20">
      <c r="A250" s="12" t="s">
        <v>403</v>
      </c>
      <c r="B250" s="13">
        <v>45758</v>
      </c>
      <c r="C250" s="12" t="s">
        <v>232</v>
      </c>
      <c r="D250" s="12" t="s">
        <v>233</v>
      </c>
      <c r="E250" s="12" t="s">
        <v>123</v>
      </c>
      <c r="F250" s="12" t="s">
        <v>124</v>
      </c>
      <c r="G250" s="12" t="s">
        <v>25</v>
      </c>
      <c r="H250" s="12">
        <v>2</v>
      </c>
      <c r="I250" s="14">
        <v>89.99</v>
      </c>
      <c r="J250" s="12" t="s">
        <v>63</v>
      </c>
      <c r="K250" s="12" t="s">
        <v>69</v>
      </c>
      <c r="L250" s="12" t="s">
        <v>28</v>
      </c>
      <c r="M250" s="13">
        <v>45088</v>
      </c>
      <c r="N250" s="14">
        <v>179.98</v>
      </c>
      <c r="O250" s="15">
        <f t="shared" ca="1" si="18"/>
        <v>46312</v>
      </c>
      <c r="P250" s="16">
        <f t="shared" ca="1" si="19"/>
        <v>46312.46113171296</v>
      </c>
      <c r="Q250" s="17">
        <f t="shared" ca="1" si="20"/>
        <v>3</v>
      </c>
      <c r="R250" s="7">
        <f t="shared" ca="1" si="21"/>
        <v>40</v>
      </c>
      <c r="S250" s="15">
        <f t="shared" si="22"/>
        <v>45777</v>
      </c>
      <c r="T250" s="7" t="str">
        <f t="shared" si="23"/>
        <v>Elect-Keyb-P010</v>
      </c>
    </row>
    <row r="251" spans="1:20">
      <c r="A251" s="12" t="s">
        <v>404</v>
      </c>
      <c r="B251" s="13">
        <v>45758</v>
      </c>
      <c r="C251" s="12" t="s">
        <v>144</v>
      </c>
      <c r="D251" s="12" t="s">
        <v>145</v>
      </c>
      <c r="E251" s="12" t="s">
        <v>123</v>
      </c>
      <c r="F251" s="12" t="s">
        <v>124</v>
      </c>
      <c r="G251" s="12" t="s">
        <v>25</v>
      </c>
      <c r="H251" s="12">
        <v>3</v>
      </c>
      <c r="I251" s="14">
        <v>89.99</v>
      </c>
      <c r="J251" s="12" t="s">
        <v>63</v>
      </c>
      <c r="K251" s="12" t="s">
        <v>46</v>
      </c>
      <c r="L251" s="12" t="s">
        <v>33</v>
      </c>
      <c r="M251" s="13">
        <v>44878</v>
      </c>
      <c r="N251" s="14">
        <v>269.97000000000003</v>
      </c>
      <c r="O251" s="15">
        <f t="shared" ca="1" si="18"/>
        <v>46312</v>
      </c>
      <c r="P251" s="16">
        <f t="shared" ca="1" si="19"/>
        <v>46312.46113171296</v>
      </c>
      <c r="Q251" s="17">
        <f t="shared" ca="1" si="20"/>
        <v>3</v>
      </c>
      <c r="R251" s="7">
        <f t="shared" ca="1" si="21"/>
        <v>47</v>
      </c>
      <c r="S251" s="15">
        <f t="shared" si="22"/>
        <v>45777</v>
      </c>
      <c r="T251" s="7" t="str">
        <f t="shared" si="23"/>
        <v>Elect-Keyb-P010</v>
      </c>
    </row>
  </sheetData>
  <conditionalFormatting sqref="L1:L1048576">
    <cfRule type="containsText" dxfId="9" priority="2" operator="containsText" text="Premium">
      <formula>NOT(ISERROR(SEARCH("Premium",L1)))</formula>
    </cfRule>
  </conditionalFormatting>
  <conditionalFormatting sqref="N1:N1048576">
    <cfRule type="cellIs" dxfId="8" priority="1" operator="greaterThan">
      <formula>3000</formula>
    </cfRule>
  </conditionalFormatting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7171F92C-DC3C-494B-AC7A-1FFBED235C6E}">
          <xm:f>#REF!</xm:f>
        </x15:webExtension>
        <x15:webExtension appRef="{2DC07CA1-4AD2-4B8D-9382-05EB941D8A0E}">
          <xm:f>Dataset!$N1:$N$252</xm:f>
        </x15:webExtension>
        <x15:webExtension appRef="{B3C3B2A4-6E1B-4F23-B1CB-EF45216C66D8}">
          <xm:f>Dataset!$I$1:$I$252</xm:f>
        </x15:webExtension>
        <x15:webExtension appRef="{B8879B96-AA35-4C0C-8684-8C0D0A7050E3}">
          <xm:f>#REF!</xm:f>
        </x15:webExtension>
        <x15:webExtension appRef="{EB977BFC-D19C-47BD-BC89-4320643D9251}">
          <xm:f>Dataset!$N1:$N$252</xm:f>
        </x15:webExtension>
        <x15:webExtension appRef="{E7196C7C-734A-4FFC-ABBA-4A4433E5EC04}">
          <xm:f>Dataset!$I$1:$I$252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C764C-0732-4ECA-8D9D-9D97761B6309}">
  <dimension ref="A1:BG133"/>
  <sheetViews>
    <sheetView topLeftCell="AH1" workbookViewId="0">
      <selection activeCell="AT1" sqref="AT1:BG31"/>
    </sheetView>
  </sheetViews>
  <sheetFormatPr defaultRowHeight="15"/>
  <cols>
    <col min="1" max="1" width="16.42578125" bestFit="1" customWidth="1"/>
    <col min="2" max="2" width="6.5703125" bestFit="1" customWidth="1"/>
    <col min="3" max="3" width="12.7109375" bestFit="1" customWidth="1"/>
    <col min="4" max="4" width="16.28515625" bestFit="1" customWidth="1"/>
    <col min="5" max="5" width="11.140625" bestFit="1" customWidth="1"/>
    <col min="6" max="6" width="17.140625" bestFit="1" customWidth="1"/>
    <col min="7" max="7" width="10.5703125" bestFit="1" customWidth="1"/>
    <col min="8" max="8" width="20" bestFit="1" customWidth="1"/>
    <col min="9" max="9" width="11.42578125" bestFit="1" customWidth="1"/>
    <col min="10" max="10" width="24.28515625" bestFit="1" customWidth="1"/>
    <col min="11" max="11" width="7.28515625" bestFit="1" customWidth="1"/>
    <col min="12" max="12" width="19" bestFit="1" customWidth="1"/>
    <col min="13" max="13" width="15.5703125" bestFit="1" customWidth="1"/>
    <col min="14" max="14" width="15.140625" bestFit="1" customWidth="1"/>
    <col min="16" max="16" width="14.7109375" bestFit="1" customWidth="1"/>
    <col min="17" max="17" width="6.5703125" bestFit="1" customWidth="1"/>
    <col min="18" max="18" width="12.7109375" bestFit="1" customWidth="1"/>
    <col min="19" max="19" width="16.42578125" bestFit="1" customWidth="1"/>
    <col min="20" max="20" width="11.140625" bestFit="1" customWidth="1"/>
    <col min="21" max="21" width="14.5703125" bestFit="1" customWidth="1"/>
    <col min="22" max="22" width="10.5703125" bestFit="1" customWidth="1"/>
    <col min="23" max="23" width="9" bestFit="1" customWidth="1"/>
    <col min="24" max="24" width="11.42578125" bestFit="1" customWidth="1"/>
    <col min="25" max="25" width="17.5703125" bestFit="1" customWidth="1"/>
    <col min="26" max="26" width="7.42578125" bestFit="1" customWidth="1"/>
    <col min="27" max="27" width="19" bestFit="1" customWidth="1"/>
    <col min="28" max="28" width="15.5703125" bestFit="1" customWidth="1"/>
    <col min="29" max="29" width="15.140625" bestFit="1" customWidth="1"/>
    <col min="31" max="31" width="14.7109375" bestFit="1" customWidth="1"/>
    <col min="32" max="32" width="6.5703125" bestFit="1" customWidth="1"/>
    <col min="33" max="33" width="12.7109375" bestFit="1" customWidth="1"/>
    <col min="34" max="34" width="16.42578125" bestFit="1" customWidth="1"/>
    <col min="35" max="35" width="11.140625" bestFit="1" customWidth="1"/>
    <col min="36" max="36" width="14.5703125" bestFit="1" customWidth="1"/>
    <col min="37" max="37" width="10.5703125" bestFit="1" customWidth="1"/>
    <col min="38" max="38" width="9" bestFit="1" customWidth="1"/>
    <col min="39" max="39" width="11.42578125" bestFit="1" customWidth="1"/>
    <col min="40" max="40" width="17.5703125" bestFit="1" customWidth="1"/>
    <col min="41" max="41" width="7.42578125" bestFit="1" customWidth="1"/>
    <col min="42" max="42" width="19" bestFit="1" customWidth="1"/>
    <col min="43" max="43" width="15.5703125" bestFit="1" customWidth="1"/>
    <col min="44" max="44" width="15.140625" bestFit="1" customWidth="1"/>
    <col min="46" max="46" width="14.7109375" bestFit="1" customWidth="1"/>
    <col min="47" max="47" width="6.5703125" bestFit="1" customWidth="1"/>
    <col min="48" max="48" width="12.7109375" bestFit="1" customWidth="1"/>
    <col min="49" max="49" width="16.42578125" bestFit="1" customWidth="1"/>
    <col min="50" max="50" width="11.140625" bestFit="1" customWidth="1"/>
    <col min="51" max="51" width="14.5703125" bestFit="1" customWidth="1"/>
    <col min="52" max="52" width="10.5703125" bestFit="1" customWidth="1"/>
    <col min="53" max="53" width="9" bestFit="1" customWidth="1"/>
    <col min="54" max="54" width="11.42578125" bestFit="1" customWidth="1"/>
    <col min="55" max="55" width="17.5703125" bestFit="1" customWidth="1"/>
    <col min="56" max="56" width="7.42578125" bestFit="1" customWidth="1"/>
    <col min="57" max="57" width="19" bestFit="1" customWidth="1"/>
    <col min="58" max="58" width="15.5703125" bestFit="1" customWidth="1"/>
    <col min="59" max="59" width="15.140625" bestFit="1" customWidth="1"/>
  </cols>
  <sheetData>
    <row r="1" spans="1:59">
      <c r="A1" s="3" t="s">
        <v>405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P1" s="3" t="s">
        <v>406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E1" s="3" t="s">
        <v>407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T1" s="3" t="s">
        <v>408</v>
      </c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</row>
    <row r="2" spans="1:59">
      <c r="A2" s="4" t="s">
        <v>0</v>
      </c>
      <c r="B2" s="5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6" t="s">
        <v>8</v>
      </c>
      <c r="J2" s="4" t="s">
        <v>9</v>
      </c>
      <c r="K2" s="4" t="s">
        <v>10</v>
      </c>
      <c r="L2" s="4" t="s">
        <v>11</v>
      </c>
      <c r="M2" s="5" t="s">
        <v>12</v>
      </c>
      <c r="N2" s="6" t="s">
        <v>13</v>
      </c>
      <c r="P2" s="4" t="s">
        <v>0</v>
      </c>
      <c r="Q2" s="5" t="s">
        <v>1</v>
      </c>
      <c r="R2" s="4" t="s">
        <v>2</v>
      </c>
      <c r="S2" s="4" t="s">
        <v>3</v>
      </c>
      <c r="T2" s="4" t="s">
        <v>4</v>
      </c>
      <c r="U2" s="4" t="s">
        <v>5</v>
      </c>
      <c r="V2" s="4" t="s">
        <v>6</v>
      </c>
      <c r="W2" s="4" t="s">
        <v>7</v>
      </c>
      <c r="X2" s="6" t="s">
        <v>8</v>
      </c>
      <c r="Y2" s="4" t="s">
        <v>9</v>
      </c>
      <c r="Z2" s="4" t="s">
        <v>10</v>
      </c>
      <c r="AA2" s="4" t="s">
        <v>11</v>
      </c>
      <c r="AB2" s="5" t="s">
        <v>12</v>
      </c>
      <c r="AC2" s="6" t="s">
        <v>13</v>
      </c>
      <c r="AE2" s="4" t="s">
        <v>0</v>
      </c>
      <c r="AF2" s="5" t="s">
        <v>1</v>
      </c>
      <c r="AG2" s="4" t="s">
        <v>2</v>
      </c>
      <c r="AH2" s="4" t="s">
        <v>3</v>
      </c>
      <c r="AI2" s="4" t="s">
        <v>4</v>
      </c>
      <c r="AJ2" s="4" t="s">
        <v>5</v>
      </c>
      <c r="AK2" s="4" t="s">
        <v>6</v>
      </c>
      <c r="AL2" s="4" t="s">
        <v>7</v>
      </c>
      <c r="AM2" s="6" t="s">
        <v>8</v>
      </c>
      <c r="AN2" s="4" t="s">
        <v>9</v>
      </c>
      <c r="AO2" s="4" t="s">
        <v>10</v>
      </c>
      <c r="AP2" s="4" t="s">
        <v>11</v>
      </c>
      <c r="AQ2" s="5" t="s">
        <v>12</v>
      </c>
      <c r="AR2" s="9" t="s">
        <v>13</v>
      </c>
      <c r="AT2" s="4" t="s">
        <v>0</v>
      </c>
      <c r="AU2" s="5" t="s">
        <v>1</v>
      </c>
      <c r="AV2" s="4" t="s">
        <v>2</v>
      </c>
      <c r="AW2" s="4" t="s">
        <v>3</v>
      </c>
      <c r="AX2" s="4" t="s">
        <v>4</v>
      </c>
      <c r="AY2" s="4" t="s">
        <v>5</v>
      </c>
      <c r="AZ2" s="4" t="s">
        <v>6</v>
      </c>
      <c r="BA2" s="4" t="s">
        <v>7</v>
      </c>
      <c r="BB2" s="6" t="s">
        <v>8</v>
      </c>
      <c r="BC2" s="4" t="s">
        <v>9</v>
      </c>
      <c r="BD2" s="4" t="s">
        <v>10</v>
      </c>
      <c r="BE2" s="4" t="s">
        <v>11</v>
      </c>
      <c r="BF2" s="5" t="s">
        <v>12</v>
      </c>
      <c r="BG2" s="9" t="s">
        <v>13</v>
      </c>
    </row>
    <row r="3" spans="1:59">
      <c r="A3" s="7" t="str" cm="1">
        <f t="array" ref="A3:N38">_xlfn._xlws.FILTER(Dataset!A2:N252,(Dataset!G2:G252="Electronics") * (Dataset!K2:K252="North"),"No Matching Records")</f>
        <v>TRX0230</v>
      </c>
      <c r="B3" s="7">
        <v>45409</v>
      </c>
      <c r="C3" s="7" t="str">
        <v>CUST027</v>
      </c>
      <c r="D3" s="7" t="str">
        <v>George Adams</v>
      </c>
      <c r="E3" s="7" t="str">
        <v>P001</v>
      </c>
      <c r="F3" s="7" t="str">
        <v>Laptop</v>
      </c>
      <c r="G3" s="7" t="str">
        <v>Electronics</v>
      </c>
      <c r="H3" s="7">
        <v>1</v>
      </c>
      <c r="I3" s="7">
        <v>899.99</v>
      </c>
      <c r="J3" s="7" t="str">
        <v>Debit Card</v>
      </c>
      <c r="K3" s="7" t="str">
        <v>North</v>
      </c>
      <c r="L3" s="7" t="str">
        <v>Standard</v>
      </c>
      <c r="M3" s="7">
        <v>44920</v>
      </c>
      <c r="N3" s="7">
        <v>899.99</v>
      </c>
      <c r="P3" s="7" t="str" cm="1">
        <f t="array" ref="P3:AC38">_xlfn._xlws.FILTER(Dataset!A2:N252,Dataset!N2:N252 &gt; 1500,"No Matching Records")</f>
        <v>TRX0135</v>
      </c>
      <c r="Q3" s="7">
        <v>45405</v>
      </c>
      <c r="R3" s="7" t="str">
        <v>CUST009</v>
      </c>
      <c r="S3" s="7" t="str">
        <v>Robert Thomas</v>
      </c>
      <c r="T3" s="7" t="str">
        <v>P001</v>
      </c>
      <c r="U3" s="7" t="str">
        <v>Laptop</v>
      </c>
      <c r="V3" s="7" t="str">
        <v>Electronics</v>
      </c>
      <c r="W3" s="7">
        <v>3</v>
      </c>
      <c r="X3" s="7">
        <v>899.99</v>
      </c>
      <c r="Y3" s="7" t="str">
        <v>PayPal</v>
      </c>
      <c r="Z3" s="7" t="str">
        <v>East</v>
      </c>
      <c r="AA3" s="7" t="str">
        <v>Standard</v>
      </c>
      <c r="AB3" s="7">
        <v>45299</v>
      </c>
      <c r="AC3" s="7">
        <v>2699.97</v>
      </c>
      <c r="AE3" s="7" t="str" cm="1">
        <f t="array" ref="AE3:AR78">_xlfn._xlws.FILTER(Dataset!A2:N252,Dataset!J2:J252="Cash","No Matching Records")</f>
        <v>TRX0155</v>
      </c>
      <c r="AF3" s="7">
        <v>45393</v>
      </c>
      <c r="AG3" s="7" t="str">
        <v>CUST023</v>
      </c>
      <c r="AH3" s="7" t="str">
        <v>Paul Baker</v>
      </c>
      <c r="AI3" s="7" t="str">
        <v>P009</v>
      </c>
      <c r="AJ3" s="7" t="str">
        <v>Monitor</v>
      </c>
      <c r="AK3" s="7" t="str">
        <v>Electronics</v>
      </c>
      <c r="AL3" s="7">
        <v>3</v>
      </c>
      <c r="AM3" s="7">
        <v>249.99</v>
      </c>
      <c r="AN3" s="7" t="str">
        <v>Cash</v>
      </c>
      <c r="AO3" s="7" t="str">
        <v>Central</v>
      </c>
      <c r="AP3" s="7" t="str">
        <v>Basic</v>
      </c>
      <c r="AQ3" s="7">
        <v>44425</v>
      </c>
      <c r="AR3" s="7">
        <v>749.97</v>
      </c>
      <c r="AT3" s="7" t="str" cm="1">
        <f t="array" ref="AT3:BG31">_xlfn._xlws.FILTER(Dataset!A2:N252,(Dataset!J2:J252="Credit Card") * (Dataset!L2:L252="Premium"),"No records Found")</f>
        <v>TRX0023</v>
      </c>
      <c r="AU3" s="7">
        <v>45396</v>
      </c>
      <c r="AV3" s="7" t="str">
        <v>CUST013</v>
      </c>
      <c r="AW3" s="7" t="str">
        <v>Joseph Jackson</v>
      </c>
      <c r="AX3" s="7" t="str">
        <v>P009</v>
      </c>
      <c r="AY3" s="7" t="str">
        <v>Monitor</v>
      </c>
      <c r="AZ3" s="7" t="str">
        <v>Electronics</v>
      </c>
      <c r="BA3" s="7">
        <v>3</v>
      </c>
      <c r="BB3" s="7">
        <v>249.99</v>
      </c>
      <c r="BC3" s="7" t="str">
        <v>Credit Card</v>
      </c>
      <c r="BD3" s="7" t="str">
        <v>Central</v>
      </c>
      <c r="BE3" s="7" t="str">
        <v>Premium</v>
      </c>
      <c r="BF3" s="7">
        <v>44575</v>
      </c>
      <c r="BG3" s="7">
        <v>749.97</v>
      </c>
    </row>
    <row r="4" spans="1:59">
      <c r="A4" s="7" t="str">
        <v>TRX0134</v>
      </c>
      <c r="B4" s="7">
        <v>45410</v>
      </c>
      <c r="C4" s="7" t="str">
        <v>CUST010</v>
      </c>
      <c r="D4" s="7" t="str">
        <v>Maria Garcia</v>
      </c>
      <c r="E4" s="7" t="str">
        <v>P002</v>
      </c>
      <c r="F4" s="7" t="str">
        <v>Smartphone</v>
      </c>
      <c r="G4" s="7" t="str">
        <v>Electronics</v>
      </c>
      <c r="H4" s="7">
        <v>2</v>
      </c>
      <c r="I4" s="7">
        <v>699.99</v>
      </c>
      <c r="J4" s="7" t="str">
        <v>Cash</v>
      </c>
      <c r="K4" s="7" t="str">
        <v>North</v>
      </c>
      <c r="L4" s="7" t="str">
        <v>Basic</v>
      </c>
      <c r="M4" s="7">
        <v>44781</v>
      </c>
      <c r="N4" s="7">
        <v>1399.98</v>
      </c>
      <c r="P4" s="7" t="str">
        <v>TRX0191</v>
      </c>
      <c r="Q4" s="7">
        <v>45409</v>
      </c>
      <c r="R4" s="7" t="str">
        <v>CUST038</v>
      </c>
      <c r="S4" s="7" t="str">
        <v>Michelle Rogers</v>
      </c>
      <c r="T4" s="7" t="str">
        <v>P002</v>
      </c>
      <c r="U4" s="7" t="str">
        <v>Smartphone</v>
      </c>
      <c r="V4" s="7" t="str">
        <v>Electronics</v>
      </c>
      <c r="W4" s="7">
        <v>3</v>
      </c>
      <c r="X4" s="7">
        <v>699.99</v>
      </c>
      <c r="Y4" s="7" t="str">
        <v>Credit Card</v>
      </c>
      <c r="Z4" s="7" t="str">
        <v>West</v>
      </c>
      <c r="AA4" s="7" t="str">
        <v>Basic</v>
      </c>
      <c r="AB4" s="7">
        <v>44577</v>
      </c>
      <c r="AC4" s="7">
        <v>2099.9699999999998</v>
      </c>
      <c r="AE4" s="7" t="str">
        <v>TRX0043</v>
      </c>
      <c r="AF4" s="7">
        <v>45400</v>
      </c>
      <c r="AG4" s="7" t="str">
        <v>CUST046</v>
      </c>
      <c r="AH4" s="7" t="str">
        <v>Kathleen Bennett</v>
      </c>
      <c r="AI4" s="7" t="str">
        <v>P005</v>
      </c>
      <c r="AJ4" s="7" t="str">
        <v>Blender</v>
      </c>
      <c r="AK4" s="7" t="str">
        <v>Appliances</v>
      </c>
      <c r="AL4" s="7">
        <v>3</v>
      </c>
      <c r="AM4" s="7">
        <v>59.99</v>
      </c>
      <c r="AN4" s="7" t="str">
        <v>Cash</v>
      </c>
      <c r="AO4" s="7" t="str">
        <v>North</v>
      </c>
      <c r="AP4" s="7" t="str">
        <v>Premium</v>
      </c>
      <c r="AQ4" s="7">
        <v>45114</v>
      </c>
      <c r="AR4" s="7">
        <v>179.97</v>
      </c>
      <c r="AT4" s="7" t="str">
        <v>TRX0212</v>
      </c>
      <c r="AU4" s="7">
        <v>45400</v>
      </c>
      <c r="AV4" s="7" t="str">
        <v>CUST003</v>
      </c>
      <c r="AW4" s="7" t="str">
        <v>Michael Brown</v>
      </c>
      <c r="AX4" s="7" t="str">
        <v>P008</v>
      </c>
      <c r="AY4" s="7" t="str">
        <v>Bookshelf</v>
      </c>
      <c r="AZ4" s="7" t="str">
        <v>Furniture</v>
      </c>
      <c r="BA4" s="7">
        <v>5</v>
      </c>
      <c r="BB4" s="7">
        <v>149.99</v>
      </c>
      <c r="BC4" s="7" t="str">
        <v>Credit Card</v>
      </c>
      <c r="BD4" s="7" t="str">
        <v>North</v>
      </c>
      <c r="BE4" s="7" t="str">
        <v>Premium</v>
      </c>
      <c r="BF4" s="7">
        <v>45295</v>
      </c>
      <c r="BG4" s="7">
        <v>749.95</v>
      </c>
    </row>
    <row r="5" spans="1:59">
      <c r="A5" s="7" t="str">
        <v>TRX0222</v>
      </c>
      <c r="B5" s="7">
        <v>45410</v>
      </c>
      <c r="C5" s="7" t="str">
        <v>CUST048</v>
      </c>
      <c r="D5" s="7" t="str">
        <v>Virginia Sanders</v>
      </c>
      <c r="E5" s="7" t="str">
        <v>P009</v>
      </c>
      <c r="F5" s="7" t="str">
        <v>Monitor</v>
      </c>
      <c r="G5" s="7" t="str">
        <v>Electronics</v>
      </c>
      <c r="H5" s="7">
        <v>3</v>
      </c>
      <c r="I5" s="7">
        <v>249.99</v>
      </c>
      <c r="J5" s="7" t="str">
        <v>Credit Card</v>
      </c>
      <c r="K5" s="7" t="str">
        <v>North</v>
      </c>
      <c r="L5" s="7" t="str">
        <v>Premium</v>
      </c>
      <c r="M5" s="7">
        <v>45224</v>
      </c>
      <c r="N5" s="7">
        <v>749.97</v>
      </c>
      <c r="P5" s="7" t="str">
        <v>TRX0122</v>
      </c>
      <c r="Q5" s="7">
        <v>45410</v>
      </c>
      <c r="R5" s="7" t="str">
        <v>CUST025</v>
      </c>
      <c r="S5" s="7" t="str">
        <v>Mark Carter</v>
      </c>
      <c r="T5" s="7" t="str">
        <v>P001</v>
      </c>
      <c r="U5" s="7" t="str">
        <v>Laptop</v>
      </c>
      <c r="V5" s="7" t="str">
        <v>Electronics</v>
      </c>
      <c r="W5" s="7">
        <v>4</v>
      </c>
      <c r="X5" s="7">
        <v>899.99</v>
      </c>
      <c r="Y5" s="7" t="str">
        <v>Credit Card</v>
      </c>
      <c r="Z5" s="7" t="str">
        <v>West</v>
      </c>
      <c r="AA5" s="7" t="str">
        <v>Standard</v>
      </c>
      <c r="AB5" s="7">
        <v>45327</v>
      </c>
      <c r="AC5" s="7">
        <v>3599.96</v>
      </c>
      <c r="AE5" s="7" t="str">
        <v>TRX0092</v>
      </c>
      <c r="AF5" s="7">
        <v>45403</v>
      </c>
      <c r="AG5" s="7" t="str">
        <v>CUST024</v>
      </c>
      <c r="AH5" s="7" t="str">
        <v>Dorothy Nelson</v>
      </c>
      <c r="AI5" s="7" t="str">
        <v>P005</v>
      </c>
      <c r="AJ5" s="7" t="str">
        <v>Blender</v>
      </c>
      <c r="AK5" s="7" t="str">
        <v>Appliances</v>
      </c>
      <c r="AL5" s="7">
        <v>2</v>
      </c>
      <c r="AM5" s="7">
        <v>59.99</v>
      </c>
      <c r="AN5" s="7" t="str">
        <v>Cash</v>
      </c>
      <c r="AO5" s="7" t="str">
        <v>West</v>
      </c>
      <c r="AP5" s="7" t="str">
        <v>Standard</v>
      </c>
      <c r="AQ5" s="7">
        <v>44746</v>
      </c>
      <c r="AR5" s="7">
        <v>119.98</v>
      </c>
      <c r="AT5" s="7" t="str">
        <v>TRX0222</v>
      </c>
      <c r="AU5" s="7">
        <v>45410</v>
      </c>
      <c r="AV5" s="7" t="str">
        <v>CUST048</v>
      </c>
      <c r="AW5" s="7" t="str">
        <v>Virginia Sanders</v>
      </c>
      <c r="AX5" s="7" t="str">
        <v>P009</v>
      </c>
      <c r="AY5" s="7" t="str">
        <v>Monitor</v>
      </c>
      <c r="AZ5" s="7" t="str">
        <v>Electronics</v>
      </c>
      <c r="BA5" s="7">
        <v>3</v>
      </c>
      <c r="BB5" s="7">
        <v>249.99</v>
      </c>
      <c r="BC5" s="7" t="str">
        <v>Credit Card</v>
      </c>
      <c r="BD5" s="7" t="str">
        <v>North</v>
      </c>
      <c r="BE5" s="7" t="str">
        <v>Premium</v>
      </c>
      <c r="BF5" s="7">
        <v>45224</v>
      </c>
      <c r="BG5" s="7">
        <v>749.97</v>
      </c>
    </row>
    <row r="6" spans="1:59">
      <c r="A6" s="7" t="str">
        <v>TRX0204</v>
      </c>
      <c r="B6" s="7">
        <v>45415</v>
      </c>
      <c r="C6" s="7" t="str">
        <v>CUST044</v>
      </c>
      <c r="D6" s="7" t="str">
        <v>Cynthia Price</v>
      </c>
      <c r="E6" s="7" t="str">
        <v>P009</v>
      </c>
      <c r="F6" s="7" t="str">
        <v>Monitor</v>
      </c>
      <c r="G6" s="7" t="str">
        <v>Electronics</v>
      </c>
      <c r="H6" s="7">
        <v>4</v>
      </c>
      <c r="I6" s="7">
        <v>249.99</v>
      </c>
      <c r="J6" s="7" t="str">
        <v>PayPal</v>
      </c>
      <c r="K6" s="7" t="str">
        <v>North</v>
      </c>
      <c r="L6" s="7" t="str">
        <v>Standard</v>
      </c>
      <c r="M6" s="7">
        <v>44468</v>
      </c>
      <c r="N6" s="7">
        <v>999.96</v>
      </c>
      <c r="P6" s="7" t="str">
        <v>TRX0231</v>
      </c>
      <c r="Q6" s="7">
        <v>45412</v>
      </c>
      <c r="R6" s="7" t="str">
        <v>CUST018</v>
      </c>
      <c r="S6" s="7" t="str">
        <v>Barbara Young</v>
      </c>
      <c r="T6" s="7" t="str">
        <v>P002</v>
      </c>
      <c r="U6" s="7" t="str">
        <v>Smartphone</v>
      </c>
      <c r="V6" s="7" t="str">
        <v>Electronics</v>
      </c>
      <c r="W6" s="7">
        <v>5</v>
      </c>
      <c r="X6" s="7">
        <v>699.99</v>
      </c>
      <c r="Y6" s="7" t="str">
        <v>Cash</v>
      </c>
      <c r="Z6" s="7" t="str">
        <v>West</v>
      </c>
      <c r="AA6" s="7" t="str">
        <v>Basic</v>
      </c>
      <c r="AB6" s="7">
        <v>45167</v>
      </c>
      <c r="AC6" s="7">
        <v>3499.95</v>
      </c>
      <c r="AE6" s="7" t="str">
        <v>TRX0185</v>
      </c>
      <c r="AF6" s="7">
        <v>45408</v>
      </c>
      <c r="AG6" s="7" t="str">
        <v>CUST026</v>
      </c>
      <c r="AH6" s="7" t="str">
        <v>Karen Hill</v>
      </c>
      <c r="AI6" s="7" t="str">
        <v>P005</v>
      </c>
      <c r="AJ6" s="7" t="str">
        <v>Blender</v>
      </c>
      <c r="AK6" s="7" t="str">
        <v>Appliances</v>
      </c>
      <c r="AL6" s="7">
        <v>3</v>
      </c>
      <c r="AM6" s="7">
        <v>59.99</v>
      </c>
      <c r="AN6" s="7" t="str">
        <v>Cash</v>
      </c>
      <c r="AO6" s="7" t="str">
        <v>West</v>
      </c>
      <c r="AP6" s="7" t="str">
        <v>Premium</v>
      </c>
      <c r="AQ6" s="7">
        <v>45207</v>
      </c>
      <c r="AR6" s="7">
        <v>179.97</v>
      </c>
      <c r="AT6" s="7" t="str">
        <v>TRX0130</v>
      </c>
      <c r="AU6" s="7">
        <v>45430</v>
      </c>
      <c r="AV6" s="7" t="str">
        <v>CUST002</v>
      </c>
      <c r="AW6" s="7" t="str">
        <v>Emma Wilson</v>
      </c>
      <c r="AX6" s="7" t="str">
        <v>P008</v>
      </c>
      <c r="AY6" s="7" t="str">
        <v>Bookshelf</v>
      </c>
      <c r="AZ6" s="7" t="str">
        <v>Furniture</v>
      </c>
      <c r="BA6" s="7">
        <v>3</v>
      </c>
      <c r="BB6" s="7">
        <v>149.99</v>
      </c>
      <c r="BC6" s="7" t="str">
        <v>Credit Card</v>
      </c>
      <c r="BD6" s="7" t="str">
        <v>West</v>
      </c>
      <c r="BE6" s="7" t="str">
        <v>Premium</v>
      </c>
      <c r="BF6" s="7">
        <v>45068</v>
      </c>
      <c r="BG6" s="7">
        <v>449.97</v>
      </c>
    </row>
    <row r="7" spans="1:59">
      <c r="A7" s="7" t="str">
        <v>TRX0004</v>
      </c>
      <c r="B7" s="7">
        <v>45424</v>
      </c>
      <c r="C7" s="7" t="str">
        <v>CUST012</v>
      </c>
      <c r="D7" s="7" t="str">
        <v>Patricia Moore</v>
      </c>
      <c r="E7" s="7" t="str">
        <v>P010</v>
      </c>
      <c r="F7" s="7" t="str">
        <v>Keyboard</v>
      </c>
      <c r="G7" s="7" t="str">
        <v>Electronics</v>
      </c>
      <c r="H7" s="7">
        <v>5</v>
      </c>
      <c r="I7" s="7">
        <v>89.99</v>
      </c>
      <c r="J7" s="7" t="str">
        <v>Cash</v>
      </c>
      <c r="K7" s="7" t="str">
        <v>North</v>
      </c>
      <c r="L7" s="7" t="str">
        <v>Premium</v>
      </c>
      <c r="M7" s="7">
        <v>44919</v>
      </c>
      <c r="N7" s="7">
        <v>449.95</v>
      </c>
      <c r="P7" s="7" t="str">
        <v>TRX0239</v>
      </c>
      <c r="Q7" s="7">
        <v>45413</v>
      </c>
      <c r="R7" s="7" t="str">
        <v>CUST012</v>
      </c>
      <c r="S7" s="7" t="str">
        <v>Patricia Moore</v>
      </c>
      <c r="T7" s="7" t="str">
        <v>P002</v>
      </c>
      <c r="U7" s="7" t="str">
        <v>Smartphone</v>
      </c>
      <c r="V7" s="7" t="str">
        <v>Electronics</v>
      </c>
      <c r="W7" s="7">
        <v>4</v>
      </c>
      <c r="X7" s="7">
        <v>699.99</v>
      </c>
      <c r="Y7" s="7" t="str">
        <v>Cash</v>
      </c>
      <c r="Z7" s="7" t="str">
        <v>East</v>
      </c>
      <c r="AA7" s="7" t="str">
        <v>Standard</v>
      </c>
      <c r="AB7" s="7">
        <v>44409</v>
      </c>
      <c r="AC7" s="7">
        <v>2799.96</v>
      </c>
      <c r="AE7" s="7" t="str">
        <v>TRX0246</v>
      </c>
      <c r="AF7" s="7">
        <v>45408</v>
      </c>
      <c r="AG7" s="7" t="str">
        <v>CUST041</v>
      </c>
      <c r="AH7" s="7" t="str">
        <v>Peter Richardson</v>
      </c>
      <c r="AI7" s="7" t="str">
        <v>P008</v>
      </c>
      <c r="AJ7" s="7" t="str">
        <v>Bookshelf</v>
      </c>
      <c r="AK7" s="7" t="str">
        <v>Furniture</v>
      </c>
      <c r="AL7" s="7">
        <v>3</v>
      </c>
      <c r="AM7" s="7">
        <v>149.99</v>
      </c>
      <c r="AN7" s="7" t="str">
        <v>Cash</v>
      </c>
      <c r="AO7" s="7" t="str">
        <v>North</v>
      </c>
      <c r="AP7" s="7" t="str">
        <v>Premium</v>
      </c>
      <c r="AQ7" s="7">
        <v>44806</v>
      </c>
      <c r="AR7" s="7">
        <v>449.97</v>
      </c>
      <c r="AT7" s="7" t="str">
        <v>TRX0041</v>
      </c>
      <c r="AU7" s="7">
        <v>45432</v>
      </c>
      <c r="AV7" s="7" t="str">
        <v>CUST021</v>
      </c>
      <c r="AW7" s="7" t="str">
        <v>Kevin Scott</v>
      </c>
      <c r="AX7" s="7" t="str">
        <v>P001</v>
      </c>
      <c r="AY7" s="7" t="str">
        <v>Laptop</v>
      </c>
      <c r="AZ7" s="7" t="str">
        <v>Electronics</v>
      </c>
      <c r="BA7" s="7">
        <v>1</v>
      </c>
      <c r="BB7" s="7">
        <v>899.99</v>
      </c>
      <c r="BC7" s="7" t="str">
        <v>Credit Card</v>
      </c>
      <c r="BD7" s="7" t="str">
        <v>West</v>
      </c>
      <c r="BE7" s="7" t="str">
        <v>Premium</v>
      </c>
      <c r="BF7" s="7">
        <v>44578</v>
      </c>
      <c r="BG7" s="7">
        <v>899.99</v>
      </c>
    </row>
    <row r="8" spans="1:59">
      <c r="A8" s="7" t="str">
        <v>TRX0117</v>
      </c>
      <c r="B8" s="7">
        <v>45444</v>
      </c>
      <c r="C8" s="7" t="str">
        <v>CUST017</v>
      </c>
      <c r="D8" s="7" t="str">
        <v>Charles Allen</v>
      </c>
      <c r="E8" s="7" t="str">
        <v>P010</v>
      </c>
      <c r="F8" s="7" t="str">
        <v>Keyboard</v>
      </c>
      <c r="G8" s="7" t="str">
        <v>Electronics</v>
      </c>
      <c r="H8" s="7">
        <v>1</v>
      </c>
      <c r="I8" s="7">
        <v>89.99</v>
      </c>
      <c r="J8" s="7" t="str">
        <v>Cash</v>
      </c>
      <c r="K8" s="7" t="str">
        <v>North</v>
      </c>
      <c r="L8" s="7" t="str">
        <v>Basic</v>
      </c>
      <c r="M8" s="7">
        <v>45141</v>
      </c>
      <c r="N8" s="7">
        <v>89.99</v>
      </c>
      <c r="P8" s="7" t="str">
        <v>TRX0015</v>
      </c>
      <c r="Q8" s="7">
        <v>45440</v>
      </c>
      <c r="R8" s="7" t="str">
        <v>CUST008</v>
      </c>
      <c r="S8" s="7" t="str">
        <v>Jennifer Taylor</v>
      </c>
      <c r="T8" s="7" t="str">
        <v>P002</v>
      </c>
      <c r="U8" s="7" t="str">
        <v>Smartphone</v>
      </c>
      <c r="V8" s="7" t="str">
        <v>Electronics</v>
      </c>
      <c r="W8" s="7">
        <v>5</v>
      </c>
      <c r="X8" s="7">
        <v>699.99</v>
      </c>
      <c r="Y8" s="7" t="str">
        <v>PayPal</v>
      </c>
      <c r="Z8" s="7" t="str">
        <v>West</v>
      </c>
      <c r="AA8" s="7" t="str">
        <v>Standard</v>
      </c>
      <c r="AB8" s="7">
        <v>44407</v>
      </c>
      <c r="AC8" s="7">
        <v>3499.95</v>
      </c>
      <c r="AE8" s="7" t="str">
        <v>TRX0134</v>
      </c>
      <c r="AF8" s="7">
        <v>45410</v>
      </c>
      <c r="AG8" s="7" t="str">
        <v>CUST010</v>
      </c>
      <c r="AH8" s="7" t="str">
        <v>Maria Garcia</v>
      </c>
      <c r="AI8" s="7" t="str">
        <v>P002</v>
      </c>
      <c r="AJ8" s="7" t="str">
        <v>Smartphone</v>
      </c>
      <c r="AK8" s="7" t="str">
        <v>Electronics</v>
      </c>
      <c r="AL8" s="7">
        <v>2</v>
      </c>
      <c r="AM8" s="7">
        <v>699.99</v>
      </c>
      <c r="AN8" s="7" t="str">
        <v>Cash</v>
      </c>
      <c r="AO8" s="7" t="str">
        <v>North</v>
      </c>
      <c r="AP8" s="7" t="str">
        <v>Basic</v>
      </c>
      <c r="AQ8" s="7">
        <v>44781</v>
      </c>
      <c r="AR8" s="7">
        <v>1399.98</v>
      </c>
      <c r="AT8" s="7" t="str">
        <v>TRX0245</v>
      </c>
      <c r="AU8" s="7">
        <v>45438</v>
      </c>
      <c r="AV8" s="7" t="str">
        <v>CUST031</v>
      </c>
      <c r="AW8" s="7" t="str">
        <v>Steven Turner</v>
      </c>
      <c r="AX8" s="7" t="str">
        <v>P006</v>
      </c>
      <c r="AY8" s="7" t="str">
        <v>Office Chair</v>
      </c>
      <c r="AZ8" s="7" t="str">
        <v>Furniture</v>
      </c>
      <c r="BA8" s="7">
        <v>3</v>
      </c>
      <c r="BB8" s="7">
        <v>199.99</v>
      </c>
      <c r="BC8" s="7" t="str">
        <v>Credit Card</v>
      </c>
      <c r="BD8" s="7" t="str">
        <v>North</v>
      </c>
      <c r="BE8" s="7" t="str">
        <v>Premium</v>
      </c>
      <c r="BF8" s="7">
        <v>45292</v>
      </c>
      <c r="BG8" s="7">
        <v>599.97</v>
      </c>
    </row>
    <row r="9" spans="1:59">
      <c r="A9" s="7" t="str">
        <v>TRX0114</v>
      </c>
      <c r="B9" s="7">
        <v>45481</v>
      </c>
      <c r="C9" s="7" t="str">
        <v>CUST018</v>
      </c>
      <c r="D9" s="7" t="str">
        <v>Barbara Young</v>
      </c>
      <c r="E9" s="7" t="str">
        <v>P010</v>
      </c>
      <c r="F9" s="7" t="str">
        <v>Keyboard</v>
      </c>
      <c r="G9" s="7" t="str">
        <v>Electronics</v>
      </c>
      <c r="H9" s="7">
        <v>5</v>
      </c>
      <c r="I9" s="7">
        <v>89.99</v>
      </c>
      <c r="J9" s="7" t="str">
        <v>Debit Card</v>
      </c>
      <c r="K9" s="7" t="str">
        <v>North</v>
      </c>
      <c r="L9" s="7" t="str">
        <v>Premium</v>
      </c>
      <c r="M9" s="7">
        <v>45161</v>
      </c>
      <c r="N9" s="7">
        <v>449.95</v>
      </c>
      <c r="P9" s="7" t="str">
        <v>TRX0154</v>
      </c>
      <c r="Q9" s="7">
        <v>45459</v>
      </c>
      <c r="R9" s="7" t="str">
        <v>CUST023</v>
      </c>
      <c r="S9" s="7" t="str">
        <v>Paul Baker</v>
      </c>
      <c r="T9" s="7" t="str">
        <v>P001</v>
      </c>
      <c r="U9" s="7" t="str">
        <v>Laptop</v>
      </c>
      <c r="V9" s="7" t="str">
        <v>Electronics</v>
      </c>
      <c r="W9" s="7">
        <v>5</v>
      </c>
      <c r="X9" s="7">
        <v>899.99</v>
      </c>
      <c r="Y9" s="7" t="str">
        <v>Credit Card</v>
      </c>
      <c r="Z9" s="7" t="str">
        <v>South</v>
      </c>
      <c r="AA9" s="7" t="str">
        <v>Standard</v>
      </c>
      <c r="AB9" s="7">
        <v>44974</v>
      </c>
      <c r="AC9" s="7">
        <v>4499.95</v>
      </c>
      <c r="AE9" s="7" t="str">
        <v>TRX0231</v>
      </c>
      <c r="AF9" s="7">
        <v>45412</v>
      </c>
      <c r="AG9" s="7" t="str">
        <v>CUST018</v>
      </c>
      <c r="AH9" s="7" t="str">
        <v>Barbara Young</v>
      </c>
      <c r="AI9" s="7" t="str">
        <v>P002</v>
      </c>
      <c r="AJ9" s="7" t="str">
        <v>Smartphone</v>
      </c>
      <c r="AK9" s="7" t="str">
        <v>Electronics</v>
      </c>
      <c r="AL9" s="7">
        <v>5</v>
      </c>
      <c r="AM9" s="7">
        <v>699.99</v>
      </c>
      <c r="AN9" s="7" t="str">
        <v>Cash</v>
      </c>
      <c r="AO9" s="7" t="str">
        <v>West</v>
      </c>
      <c r="AP9" s="7" t="str">
        <v>Basic</v>
      </c>
      <c r="AQ9" s="7">
        <v>45167</v>
      </c>
      <c r="AR9" s="7">
        <v>3499.95</v>
      </c>
      <c r="AT9" s="7" t="str">
        <v>TRX0115</v>
      </c>
      <c r="AU9" s="7">
        <v>45459</v>
      </c>
      <c r="AV9" s="7" t="str">
        <v>CUST012</v>
      </c>
      <c r="AW9" s="7" t="str">
        <v>Patricia Moore</v>
      </c>
      <c r="AX9" s="7" t="str">
        <v>P010</v>
      </c>
      <c r="AY9" s="7" t="str">
        <v>Keyboard</v>
      </c>
      <c r="AZ9" s="7" t="str">
        <v>Electronics</v>
      </c>
      <c r="BA9" s="7">
        <v>2</v>
      </c>
      <c r="BB9" s="7">
        <v>89.99</v>
      </c>
      <c r="BC9" s="7" t="str">
        <v>Credit Card</v>
      </c>
      <c r="BD9" s="7" t="str">
        <v>South</v>
      </c>
      <c r="BE9" s="7" t="str">
        <v>Premium</v>
      </c>
      <c r="BF9" s="7">
        <v>44471</v>
      </c>
      <c r="BG9" s="7">
        <v>179.98</v>
      </c>
    </row>
    <row r="10" spans="1:59">
      <c r="A10" s="7" t="str">
        <v>TRX0080</v>
      </c>
      <c r="B10" s="7">
        <v>45500</v>
      </c>
      <c r="C10" s="7" t="str">
        <v>CUST018</v>
      </c>
      <c r="D10" s="7" t="str">
        <v>Barbara Young</v>
      </c>
      <c r="E10" s="7" t="str">
        <v>P009</v>
      </c>
      <c r="F10" s="7" t="str">
        <v>Monitor</v>
      </c>
      <c r="G10" s="7" t="str">
        <v>Electronics</v>
      </c>
      <c r="H10" s="7">
        <v>2</v>
      </c>
      <c r="I10" s="7">
        <v>249.99</v>
      </c>
      <c r="J10" s="7" t="str">
        <v>Cash</v>
      </c>
      <c r="K10" s="7" t="str">
        <v>North</v>
      </c>
      <c r="L10" s="7" t="str">
        <v>Premium</v>
      </c>
      <c r="M10" s="7">
        <v>45164</v>
      </c>
      <c r="N10" s="7">
        <v>499.98</v>
      </c>
      <c r="P10" s="7" t="str">
        <v>TRX0044</v>
      </c>
      <c r="Q10" s="7">
        <v>45459</v>
      </c>
      <c r="R10" s="7" t="str">
        <v>CUST029</v>
      </c>
      <c r="S10" s="7" t="str">
        <v>Edward Mitchell</v>
      </c>
      <c r="T10" s="7" t="str">
        <v>P001</v>
      </c>
      <c r="U10" s="7" t="str">
        <v>Laptop</v>
      </c>
      <c r="V10" s="7" t="str">
        <v>Electronics</v>
      </c>
      <c r="W10" s="7">
        <v>5</v>
      </c>
      <c r="X10" s="7">
        <v>899.99</v>
      </c>
      <c r="Y10" s="7" t="str">
        <v>PayPal</v>
      </c>
      <c r="Z10" s="7" t="str">
        <v>East</v>
      </c>
      <c r="AA10" s="7" t="str">
        <v>Premium</v>
      </c>
      <c r="AB10" s="7">
        <v>45278</v>
      </c>
      <c r="AC10" s="7">
        <v>4499.95</v>
      </c>
      <c r="AE10" s="7" t="str">
        <v>TRX0239</v>
      </c>
      <c r="AF10" s="7">
        <v>45413</v>
      </c>
      <c r="AG10" s="7" t="str">
        <v>CUST012</v>
      </c>
      <c r="AH10" s="7" t="str">
        <v>Patricia Moore</v>
      </c>
      <c r="AI10" s="7" t="str">
        <v>P002</v>
      </c>
      <c r="AJ10" s="7" t="str">
        <v>Smartphone</v>
      </c>
      <c r="AK10" s="7" t="str">
        <v>Electronics</v>
      </c>
      <c r="AL10" s="7">
        <v>4</v>
      </c>
      <c r="AM10" s="7">
        <v>699.99</v>
      </c>
      <c r="AN10" s="7" t="str">
        <v>Cash</v>
      </c>
      <c r="AO10" s="7" t="str">
        <v>East</v>
      </c>
      <c r="AP10" s="7" t="str">
        <v>Standard</v>
      </c>
      <c r="AQ10" s="7">
        <v>44409</v>
      </c>
      <c r="AR10" s="7">
        <v>2799.96</v>
      </c>
      <c r="AT10" s="7" t="str">
        <v>TRX0184</v>
      </c>
      <c r="AU10" s="7">
        <v>45471</v>
      </c>
      <c r="AV10" s="7" t="str">
        <v>CUST046</v>
      </c>
      <c r="AW10" s="7" t="str">
        <v>Kathleen Bennett</v>
      </c>
      <c r="AX10" s="7" t="str">
        <v>P002</v>
      </c>
      <c r="AY10" s="7" t="str">
        <v>Smartphone</v>
      </c>
      <c r="AZ10" s="7" t="str">
        <v>Electronics</v>
      </c>
      <c r="BA10" s="7">
        <v>3</v>
      </c>
      <c r="BB10" s="7">
        <v>699.99</v>
      </c>
      <c r="BC10" s="7" t="str">
        <v>Credit Card</v>
      </c>
      <c r="BD10" s="7" t="str">
        <v>East</v>
      </c>
      <c r="BE10" s="7" t="str">
        <v>Premium</v>
      </c>
      <c r="BF10" s="7">
        <v>45102</v>
      </c>
      <c r="BG10" s="7">
        <v>2099.9699999999998</v>
      </c>
    </row>
    <row r="11" spans="1:59">
      <c r="A11" s="7" t="str">
        <v>TRX0217</v>
      </c>
      <c r="B11" s="7">
        <v>45503</v>
      </c>
      <c r="C11" s="7" t="str">
        <v>CUST025</v>
      </c>
      <c r="D11" s="7" t="str">
        <v>Mark Carter</v>
      </c>
      <c r="E11" s="7" t="str">
        <v>P002</v>
      </c>
      <c r="F11" s="7" t="str">
        <v>Smartphone</v>
      </c>
      <c r="G11" s="7" t="str">
        <v>Electronics</v>
      </c>
      <c r="H11" s="7">
        <v>2</v>
      </c>
      <c r="I11" s="7">
        <v>699.99</v>
      </c>
      <c r="J11" s="7" t="str">
        <v>Credit Card</v>
      </c>
      <c r="K11" s="7" t="str">
        <v>North</v>
      </c>
      <c r="L11" s="7" t="str">
        <v>Premium</v>
      </c>
      <c r="M11" s="7">
        <v>44999</v>
      </c>
      <c r="N11" s="7">
        <v>1399.98</v>
      </c>
      <c r="P11" s="7" t="str">
        <v>TRX0184</v>
      </c>
      <c r="Q11" s="7">
        <v>45471</v>
      </c>
      <c r="R11" s="7" t="str">
        <v>CUST046</v>
      </c>
      <c r="S11" s="7" t="str">
        <v>Kathleen Bennett</v>
      </c>
      <c r="T11" s="7" t="str">
        <v>P002</v>
      </c>
      <c r="U11" s="7" t="str">
        <v>Smartphone</v>
      </c>
      <c r="V11" s="7" t="str">
        <v>Electronics</v>
      </c>
      <c r="W11" s="7">
        <v>3</v>
      </c>
      <c r="X11" s="7">
        <v>699.99</v>
      </c>
      <c r="Y11" s="7" t="str">
        <v>Credit Card</v>
      </c>
      <c r="Z11" s="7" t="str">
        <v>East</v>
      </c>
      <c r="AA11" s="7" t="str">
        <v>Premium</v>
      </c>
      <c r="AB11" s="7">
        <v>45102</v>
      </c>
      <c r="AC11" s="7">
        <v>2099.9699999999998</v>
      </c>
      <c r="AE11" s="7" t="str">
        <v>TRX0242</v>
      </c>
      <c r="AF11" s="7">
        <v>45416</v>
      </c>
      <c r="AG11" s="7" t="str">
        <v>CUST025</v>
      </c>
      <c r="AH11" s="7" t="str">
        <v>Mark Carter</v>
      </c>
      <c r="AI11" s="7" t="str">
        <v>P007</v>
      </c>
      <c r="AJ11" s="7" t="str">
        <v>Desk</v>
      </c>
      <c r="AK11" s="7" t="str">
        <v>Furniture</v>
      </c>
      <c r="AL11" s="7">
        <v>4</v>
      </c>
      <c r="AM11" s="7">
        <v>299.99</v>
      </c>
      <c r="AN11" s="7" t="str">
        <v>Cash</v>
      </c>
      <c r="AO11" s="7" t="str">
        <v>West</v>
      </c>
      <c r="AP11" s="7" t="str">
        <v>Premium</v>
      </c>
      <c r="AQ11" s="7">
        <v>44716</v>
      </c>
      <c r="AR11" s="7">
        <v>1199.96</v>
      </c>
      <c r="AT11" s="7" t="str">
        <v>TRX0104</v>
      </c>
      <c r="AU11" s="7">
        <v>45471</v>
      </c>
      <c r="AV11" s="7" t="str">
        <v>CUST012</v>
      </c>
      <c r="AW11" s="7" t="str">
        <v>Patricia Moore</v>
      </c>
      <c r="AX11" s="7" t="str">
        <v>P001</v>
      </c>
      <c r="AY11" s="7" t="str">
        <v>Laptop</v>
      </c>
      <c r="AZ11" s="7" t="str">
        <v>Electronics</v>
      </c>
      <c r="BA11" s="7">
        <v>4</v>
      </c>
      <c r="BB11" s="7">
        <v>899.99</v>
      </c>
      <c r="BC11" s="7" t="str">
        <v>Credit Card</v>
      </c>
      <c r="BD11" s="7" t="str">
        <v>East</v>
      </c>
      <c r="BE11" s="7" t="str">
        <v>Premium</v>
      </c>
      <c r="BF11" s="7">
        <v>44993</v>
      </c>
      <c r="BG11" s="7">
        <v>3599.96</v>
      </c>
    </row>
    <row r="12" spans="1:59">
      <c r="A12" s="7" t="str">
        <v>TRX0101</v>
      </c>
      <c r="B12" s="7">
        <v>45513</v>
      </c>
      <c r="C12" s="7" t="str">
        <v>CUST010</v>
      </c>
      <c r="D12" s="7" t="str">
        <v>Maria Garcia</v>
      </c>
      <c r="E12" s="7" t="str">
        <v>P010</v>
      </c>
      <c r="F12" s="7" t="str">
        <v>Keyboard</v>
      </c>
      <c r="G12" s="7" t="str">
        <v>Electronics</v>
      </c>
      <c r="H12" s="7">
        <v>1</v>
      </c>
      <c r="I12" s="7">
        <v>89.99</v>
      </c>
      <c r="J12" s="7" t="str">
        <v>Credit Card</v>
      </c>
      <c r="K12" s="7" t="str">
        <v>North</v>
      </c>
      <c r="L12" s="7" t="str">
        <v>Standard</v>
      </c>
      <c r="M12" s="7">
        <v>45393</v>
      </c>
      <c r="N12" s="7">
        <v>89.99</v>
      </c>
      <c r="P12" s="7" t="str">
        <v>TRX0104</v>
      </c>
      <c r="Q12" s="7">
        <v>45471</v>
      </c>
      <c r="R12" s="7" t="str">
        <v>CUST012</v>
      </c>
      <c r="S12" s="7" t="str">
        <v>Patricia Moore</v>
      </c>
      <c r="T12" s="7" t="str">
        <v>P001</v>
      </c>
      <c r="U12" s="7" t="str">
        <v>Laptop</v>
      </c>
      <c r="V12" s="7" t="str">
        <v>Electronics</v>
      </c>
      <c r="W12" s="7">
        <v>4</v>
      </c>
      <c r="X12" s="7">
        <v>899.99</v>
      </c>
      <c r="Y12" s="7" t="str">
        <v>Credit Card</v>
      </c>
      <c r="Z12" s="7" t="str">
        <v>East</v>
      </c>
      <c r="AA12" s="7" t="str">
        <v>Premium</v>
      </c>
      <c r="AB12" s="7">
        <v>44993</v>
      </c>
      <c r="AC12" s="7">
        <v>3599.96</v>
      </c>
      <c r="AE12" s="7" t="str">
        <v>TRX0004</v>
      </c>
      <c r="AF12" s="7">
        <v>45424</v>
      </c>
      <c r="AG12" s="7" t="str">
        <v>CUST012</v>
      </c>
      <c r="AH12" s="7" t="str">
        <v>Patricia Moore</v>
      </c>
      <c r="AI12" s="7" t="str">
        <v>P010</v>
      </c>
      <c r="AJ12" s="7" t="str">
        <v>Keyboard</v>
      </c>
      <c r="AK12" s="7" t="str">
        <v>Electronics</v>
      </c>
      <c r="AL12" s="7">
        <v>5</v>
      </c>
      <c r="AM12" s="7">
        <v>89.99</v>
      </c>
      <c r="AN12" s="7" t="str">
        <v>Cash</v>
      </c>
      <c r="AO12" s="7" t="str">
        <v>North</v>
      </c>
      <c r="AP12" s="7" t="str">
        <v>Premium</v>
      </c>
      <c r="AQ12" s="7">
        <v>44919</v>
      </c>
      <c r="AR12" s="7">
        <v>449.95</v>
      </c>
      <c r="AT12" s="7" t="str">
        <v>TRX0141</v>
      </c>
      <c r="AU12" s="7">
        <v>45484</v>
      </c>
      <c r="AV12" s="7" t="str">
        <v>CUST033</v>
      </c>
      <c r="AW12" s="7" t="str">
        <v>Frank Torres</v>
      </c>
      <c r="AX12" s="7" t="str">
        <v>P007</v>
      </c>
      <c r="AY12" s="7" t="str">
        <v>Desk</v>
      </c>
      <c r="AZ12" s="7" t="str">
        <v>Furniture</v>
      </c>
      <c r="BA12" s="7">
        <v>1</v>
      </c>
      <c r="BB12" s="7">
        <v>299.99</v>
      </c>
      <c r="BC12" s="7" t="str">
        <v>Credit Card</v>
      </c>
      <c r="BD12" s="7" t="str">
        <v>North</v>
      </c>
      <c r="BE12" s="7" t="str">
        <v>Premium</v>
      </c>
      <c r="BF12" s="7">
        <v>44891</v>
      </c>
      <c r="BG12" s="7">
        <v>299.99</v>
      </c>
    </row>
    <row r="13" spans="1:59">
      <c r="A13" s="7" t="str">
        <v>TRX0098</v>
      </c>
      <c r="B13" s="7">
        <v>45517</v>
      </c>
      <c r="C13" s="7" t="str">
        <v>CUST026</v>
      </c>
      <c r="D13" s="7" t="str">
        <v>Karen Hill</v>
      </c>
      <c r="E13" s="7" t="str">
        <v>P009</v>
      </c>
      <c r="F13" s="7" t="str">
        <v>Monitor</v>
      </c>
      <c r="G13" s="7" t="str">
        <v>Electronics</v>
      </c>
      <c r="H13" s="7">
        <v>3</v>
      </c>
      <c r="I13" s="7">
        <v>249.99</v>
      </c>
      <c r="J13" s="7" t="str">
        <v>PayPal</v>
      </c>
      <c r="K13" s="7" t="str">
        <v>North</v>
      </c>
      <c r="L13" s="7" t="str">
        <v>Premium</v>
      </c>
      <c r="M13" s="7">
        <v>44465</v>
      </c>
      <c r="N13" s="7">
        <v>749.97</v>
      </c>
      <c r="P13" s="7" t="str">
        <v>TRX0244</v>
      </c>
      <c r="Q13" s="7">
        <v>45497</v>
      </c>
      <c r="R13" s="7" t="str">
        <v>CUST013</v>
      </c>
      <c r="S13" s="7" t="str">
        <v>Joseph Jackson</v>
      </c>
      <c r="T13" s="7" t="str">
        <v>P001</v>
      </c>
      <c r="U13" s="7" t="str">
        <v>Laptop</v>
      </c>
      <c r="V13" s="7" t="str">
        <v>Electronics</v>
      </c>
      <c r="W13" s="7">
        <v>5</v>
      </c>
      <c r="X13" s="7">
        <v>899.99</v>
      </c>
      <c r="Y13" s="7" t="str">
        <v>Debit Card</v>
      </c>
      <c r="Z13" s="7" t="str">
        <v>South</v>
      </c>
      <c r="AA13" s="7" t="str">
        <v>Standard</v>
      </c>
      <c r="AB13" s="7">
        <v>44899</v>
      </c>
      <c r="AC13" s="7">
        <v>4499.95</v>
      </c>
      <c r="AE13" s="7" t="str">
        <v>TRX0029</v>
      </c>
      <c r="AF13" s="7">
        <v>45427</v>
      </c>
      <c r="AG13" s="7" t="str">
        <v>CUST017</v>
      </c>
      <c r="AH13" s="7" t="str">
        <v>Charles Allen</v>
      </c>
      <c r="AI13" s="7" t="str">
        <v>P006</v>
      </c>
      <c r="AJ13" s="7" t="str">
        <v>Office Chair</v>
      </c>
      <c r="AK13" s="7" t="str">
        <v>Furniture</v>
      </c>
      <c r="AL13" s="7">
        <v>5</v>
      </c>
      <c r="AM13" s="7">
        <v>199.99</v>
      </c>
      <c r="AN13" s="7" t="str">
        <v>Cash</v>
      </c>
      <c r="AO13" s="7" t="str">
        <v>South</v>
      </c>
      <c r="AP13" s="7" t="str">
        <v>Standard</v>
      </c>
      <c r="AQ13" s="7">
        <v>44412</v>
      </c>
      <c r="AR13" s="7">
        <v>999.95</v>
      </c>
      <c r="AT13" s="7" t="str">
        <v>TRX0217</v>
      </c>
      <c r="AU13" s="7">
        <v>45503</v>
      </c>
      <c r="AV13" s="7" t="str">
        <v>CUST025</v>
      </c>
      <c r="AW13" s="7" t="str">
        <v>Mark Carter</v>
      </c>
      <c r="AX13" s="7" t="str">
        <v>P002</v>
      </c>
      <c r="AY13" s="7" t="str">
        <v>Smartphone</v>
      </c>
      <c r="AZ13" s="7" t="str">
        <v>Electronics</v>
      </c>
      <c r="BA13" s="7">
        <v>2</v>
      </c>
      <c r="BB13" s="7">
        <v>699.99</v>
      </c>
      <c r="BC13" s="7" t="str">
        <v>Credit Card</v>
      </c>
      <c r="BD13" s="7" t="str">
        <v>North</v>
      </c>
      <c r="BE13" s="7" t="str">
        <v>Premium</v>
      </c>
      <c r="BF13" s="7">
        <v>44999</v>
      </c>
      <c r="BG13" s="7">
        <v>1399.98</v>
      </c>
    </row>
    <row r="14" spans="1:59">
      <c r="A14" s="7" t="str">
        <v>TRX0248</v>
      </c>
      <c r="B14" s="7">
        <v>45534</v>
      </c>
      <c r="C14" s="7" t="str">
        <v>CUST032</v>
      </c>
      <c r="D14" s="7" t="str">
        <v>Sandra Phillips</v>
      </c>
      <c r="E14" s="7" t="str">
        <v>P002</v>
      </c>
      <c r="F14" s="7" t="str">
        <v>Smartphone</v>
      </c>
      <c r="G14" s="7" t="str">
        <v>Electronics</v>
      </c>
      <c r="H14" s="7">
        <v>2</v>
      </c>
      <c r="I14" s="7">
        <v>699.99</v>
      </c>
      <c r="J14" s="7" t="str">
        <v>Credit Card</v>
      </c>
      <c r="K14" s="7" t="str">
        <v>North</v>
      </c>
      <c r="L14" s="7" t="str">
        <v>Premium</v>
      </c>
      <c r="M14" s="7">
        <v>44421</v>
      </c>
      <c r="N14" s="7">
        <v>1399.98</v>
      </c>
      <c r="P14" s="7" t="str">
        <v>TRX0249</v>
      </c>
      <c r="Q14" s="7">
        <v>45504</v>
      </c>
      <c r="R14" s="7" t="str">
        <v>CUST030</v>
      </c>
      <c r="S14" s="7" t="str">
        <v>Helen Roberts</v>
      </c>
      <c r="T14" s="7" t="str">
        <v>P001</v>
      </c>
      <c r="U14" s="7" t="str">
        <v>Laptop</v>
      </c>
      <c r="V14" s="7" t="str">
        <v>Electronics</v>
      </c>
      <c r="W14" s="7">
        <v>4</v>
      </c>
      <c r="X14" s="7">
        <v>899.99</v>
      </c>
      <c r="Y14" s="7" t="str">
        <v>Debit Card</v>
      </c>
      <c r="Z14" s="7" t="str">
        <v>South</v>
      </c>
      <c r="AA14" s="7" t="str">
        <v>Standard</v>
      </c>
      <c r="AB14" s="7">
        <v>44523</v>
      </c>
      <c r="AC14" s="7">
        <v>3599.96</v>
      </c>
      <c r="AE14" s="7" t="str">
        <v>TRX0021</v>
      </c>
      <c r="AF14" s="7">
        <v>45435</v>
      </c>
      <c r="AG14" s="7" t="str">
        <v>CUST006</v>
      </c>
      <c r="AH14" s="7" t="str">
        <v>Lisa Anderson</v>
      </c>
      <c r="AI14" s="7" t="str">
        <v>P004</v>
      </c>
      <c r="AJ14" s="7" t="str">
        <v>Coffee Maker</v>
      </c>
      <c r="AK14" s="7" t="str">
        <v>Appliances</v>
      </c>
      <c r="AL14" s="7">
        <v>3</v>
      </c>
      <c r="AM14" s="7">
        <v>79.989999999999995</v>
      </c>
      <c r="AN14" s="7" t="str">
        <v>Cash</v>
      </c>
      <c r="AO14" s="7" t="str">
        <v>South</v>
      </c>
      <c r="AP14" s="7" t="str">
        <v>Basic</v>
      </c>
      <c r="AQ14" s="7">
        <v>45046</v>
      </c>
      <c r="AR14" s="7">
        <v>239.97</v>
      </c>
      <c r="AT14" s="7" t="str">
        <v>TRX0248</v>
      </c>
      <c r="AU14" s="7">
        <v>45534</v>
      </c>
      <c r="AV14" s="7" t="str">
        <v>CUST032</v>
      </c>
      <c r="AW14" s="7" t="str">
        <v>Sandra Phillips</v>
      </c>
      <c r="AX14" s="7" t="str">
        <v>P002</v>
      </c>
      <c r="AY14" s="7" t="str">
        <v>Smartphone</v>
      </c>
      <c r="AZ14" s="7" t="str">
        <v>Electronics</v>
      </c>
      <c r="BA14" s="7">
        <v>2</v>
      </c>
      <c r="BB14" s="7">
        <v>699.99</v>
      </c>
      <c r="BC14" s="7" t="str">
        <v>Credit Card</v>
      </c>
      <c r="BD14" s="7" t="str">
        <v>North</v>
      </c>
      <c r="BE14" s="7" t="str">
        <v>Premium</v>
      </c>
      <c r="BF14" s="7">
        <v>44421</v>
      </c>
      <c r="BG14" s="7">
        <v>1399.98</v>
      </c>
    </row>
    <row r="15" spans="1:59">
      <c r="A15" s="7" t="str">
        <v>TRX0074</v>
      </c>
      <c r="B15" s="7">
        <v>45537</v>
      </c>
      <c r="C15" s="7" t="str">
        <v>CUST023</v>
      </c>
      <c r="D15" s="7" t="str">
        <v>Paul Baker</v>
      </c>
      <c r="E15" s="7" t="str">
        <v>P009</v>
      </c>
      <c r="F15" s="7" t="str">
        <v>Monitor</v>
      </c>
      <c r="G15" s="7" t="str">
        <v>Electronics</v>
      </c>
      <c r="H15" s="7">
        <v>1</v>
      </c>
      <c r="I15" s="7">
        <v>249.99</v>
      </c>
      <c r="J15" s="7" t="str">
        <v>Debit Card</v>
      </c>
      <c r="K15" s="7" t="str">
        <v>North</v>
      </c>
      <c r="L15" s="7" t="str">
        <v>Premium</v>
      </c>
      <c r="M15" s="7">
        <v>45332</v>
      </c>
      <c r="N15" s="7">
        <v>249.99</v>
      </c>
      <c r="P15" s="7" t="str">
        <v>TRX0132</v>
      </c>
      <c r="Q15" s="7">
        <v>45523</v>
      </c>
      <c r="R15" s="7" t="str">
        <v>CUST047</v>
      </c>
      <c r="S15" s="7" t="str">
        <v>Gerald Murphy</v>
      </c>
      <c r="T15" s="7" t="str">
        <v>P001</v>
      </c>
      <c r="U15" s="7" t="str">
        <v>Laptop</v>
      </c>
      <c r="V15" s="7" t="str">
        <v>Electronics</v>
      </c>
      <c r="W15" s="7">
        <v>5</v>
      </c>
      <c r="X15" s="7">
        <v>899.99</v>
      </c>
      <c r="Y15" s="7" t="str">
        <v>Debit Card</v>
      </c>
      <c r="Z15" s="7" t="str">
        <v>East</v>
      </c>
      <c r="AA15" s="7" t="str">
        <v>Basic</v>
      </c>
      <c r="AB15" s="7">
        <v>44526</v>
      </c>
      <c r="AC15" s="7">
        <v>4499.95</v>
      </c>
      <c r="AE15" s="7" t="str">
        <v>TRX0042</v>
      </c>
      <c r="AF15" s="7">
        <v>45443</v>
      </c>
      <c r="AG15" s="7" t="str">
        <v>CUST019</v>
      </c>
      <c r="AH15" s="7" t="str">
        <v>Daniel King</v>
      </c>
      <c r="AI15" s="7" t="str">
        <v>P004</v>
      </c>
      <c r="AJ15" s="7" t="str">
        <v>Coffee Maker</v>
      </c>
      <c r="AK15" s="7" t="str">
        <v>Appliances</v>
      </c>
      <c r="AL15" s="7">
        <v>1</v>
      </c>
      <c r="AM15" s="7">
        <v>79.989999999999995</v>
      </c>
      <c r="AN15" s="7" t="str">
        <v>Cash</v>
      </c>
      <c r="AO15" s="7" t="str">
        <v>North</v>
      </c>
      <c r="AP15" s="7" t="str">
        <v>Standard</v>
      </c>
      <c r="AQ15" s="7">
        <v>44917</v>
      </c>
      <c r="AR15" s="7">
        <v>79.989999999999995</v>
      </c>
      <c r="AT15" s="7" t="str">
        <v>TRX0099</v>
      </c>
      <c r="AU15" s="7">
        <v>45537</v>
      </c>
      <c r="AV15" s="7" t="str">
        <v>CUST034</v>
      </c>
      <c r="AW15" s="7" t="str">
        <v>Carol Evans</v>
      </c>
      <c r="AX15" s="7" t="str">
        <v>P009</v>
      </c>
      <c r="AY15" s="7" t="str">
        <v>Monitor</v>
      </c>
      <c r="AZ15" s="7" t="str">
        <v>Electronics</v>
      </c>
      <c r="BA15" s="7">
        <v>1</v>
      </c>
      <c r="BB15" s="7">
        <v>249.99</v>
      </c>
      <c r="BC15" s="7" t="str">
        <v>Credit Card</v>
      </c>
      <c r="BD15" s="7" t="str">
        <v>West</v>
      </c>
      <c r="BE15" s="7" t="str">
        <v>Premium</v>
      </c>
      <c r="BF15" s="7">
        <v>44685</v>
      </c>
      <c r="BG15" s="7">
        <v>249.99</v>
      </c>
    </row>
    <row r="16" spans="1:59">
      <c r="A16" s="7" t="str">
        <v>TRX0005</v>
      </c>
      <c r="B16" s="7">
        <v>45550</v>
      </c>
      <c r="C16" s="7" t="str">
        <v>CUST042</v>
      </c>
      <c r="D16" s="7" t="str">
        <v>Ruth Brooks</v>
      </c>
      <c r="E16" s="7" t="str">
        <v>P003</v>
      </c>
      <c r="F16" s="7" t="str">
        <v>Headphones</v>
      </c>
      <c r="G16" s="7" t="str">
        <v>Electronics</v>
      </c>
      <c r="H16" s="7">
        <v>4</v>
      </c>
      <c r="I16" s="7">
        <v>149.99</v>
      </c>
      <c r="J16" s="7" t="str">
        <v>Cash</v>
      </c>
      <c r="K16" s="7" t="str">
        <v>North</v>
      </c>
      <c r="L16" s="7" t="str">
        <v>Basic</v>
      </c>
      <c r="M16" s="7">
        <v>44909</v>
      </c>
      <c r="N16" s="7">
        <v>599.96</v>
      </c>
      <c r="P16" s="7" t="str">
        <v>TRX0123</v>
      </c>
      <c r="Q16" s="7">
        <v>45554</v>
      </c>
      <c r="R16" s="7" t="str">
        <v>CUST041</v>
      </c>
      <c r="S16" s="7" t="str">
        <v>Peter Richardson</v>
      </c>
      <c r="T16" s="7" t="str">
        <v>P002</v>
      </c>
      <c r="U16" s="7" t="str">
        <v>Smartphone</v>
      </c>
      <c r="V16" s="7" t="str">
        <v>Electronics</v>
      </c>
      <c r="W16" s="7">
        <v>4</v>
      </c>
      <c r="X16" s="7">
        <v>699.99</v>
      </c>
      <c r="Y16" s="7" t="str">
        <v>PayPal</v>
      </c>
      <c r="Z16" s="7" t="str">
        <v>South</v>
      </c>
      <c r="AA16" s="7" t="str">
        <v>Basic</v>
      </c>
      <c r="AB16" s="7">
        <v>44618</v>
      </c>
      <c r="AC16" s="7">
        <v>2799.96</v>
      </c>
      <c r="AE16" s="7" t="str">
        <v>TRX0128</v>
      </c>
      <c r="AF16" s="7">
        <v>45444</v>
      </c>
      <c r="AG16" s="7" t="str">
        <v>CUST040</v>
      </c>
      <c r="AH16" s="7" t="str">
        <v>Sharon Butler</v>
      </c>
      <c r="AI16" s="7" t="str">
        <v>P005</v>
      </c>
      <c r="AJ16" s="7" t="str">
        <v>Blender</v>
      </c>
      <c r="AK16" s="7" t="str">
        <v>Appliances</v>
      </c>
      <c r="AL16" s="7">
        <v>2</v>
      </c>
      <c r="AM16" s="7">
        <v>59.99</v>
      </c>
      <c r="AN16" s="7" t="str">
        <v>Cash</v>
      </c>
      <c r="AO16" s="7" t="str">
        <v>West</v>
      </c>
      <c r="AP16" s="7" t="str">
        <v>Basic</v>
      </c>
      <c r="AQ16" s="7">
        <v>45390</v>
      </c>
      <c r="AR16" s="7">
        <v>119.98</v>
      </c>
      <c r="AT16" s="7" t="str">
        <v>TRX0100</v>
      </c>
      <c r="AU16" s="7">
        <v>45541</v>
      </c>
      <c r="AV16" s="7" t="str">
        <v>CUST031</v>
      </c>
      <c r="AW16" s="7" t="str">
        <v>Steven Turner</v>
      </c>
      <c r="AX16" s="7" t="str">
        <v>P005</v>
      </c>
      <c r="AY16" s="7" t="str">
        <v>Blender</v>
      </c>
      <c r="AZ16" s="7" t="str">
        <v>Appliances</v>
      </c>
      <c r="BA16" s="7">
        <v>3</v>
      </c>
      <c r="BB16" s="7">
        <v>59.99</v>
      </c>
      <c r="BC16" s="7" t="str">
        <v>Credit Card</v>
      </c>
      <c r="BD16" s="7" t="str">
        <v>Central</v>
      </c>
      <c r="BE16" s="7" t="str">
        <v>Premium</v>
      </c>
      <c r="BF16" s="7">
        <v>44717</v>
      </c>
      <c r="BG16" s="7">
        <v>179.97</v>
      </c>
    </row>
    <row r="17" spans="1:59">
      <c r="A17" s="7" t="str">
        <v>TRX0177</v>
      </c>
      <c r="B17" s="7">
        <v>45559</v>
      </c>
      <c r="C17" s="7" t="str">
        <v>CUST032</v>
      </c>
      <c r="D17" s="7" t="str">
        <v>Sandra Phillips</v>
      </c>
      <c r="E17" s="7" t="str">
        <v>P001</v>
      </c>
      <c r="F17" s="7" t="str">
        <v>Laptop</v>
      </c>
      <c r="G17" s="7" t="str">
        <v>Electronics</v>
      </c>
      <c r="H17" s="7">
        <v>3</v>
      </c>
      <c r="I17" s="7">
        <v>899.99</v>
      </c>
      <c r="J17" s="7" t="str">
        <v>Credit Card</v>
      </c>
      <c r="K17" s="7" t="str">
        <v>North</v>
      </c>
      <c r="L17" s="7" t="str">
        <v>Standard</v>
      </c>
      <c r="M17" s="7">
        <v>45157</v>
      </c>
      <c r="N17" s="7">
        <v>2699.97</v>
      </c>
      <c r="P17" s="7" t="str">
        <v>TRX0177</v>
      </c>
      <c r="Q17" s="7">
        <v>45559</v>
      </c>
      <c r="R17" s="7" t="str">
        <v>CUST032</v>
      </c>
      <c r="S17" s="7" t="str">
        <v>Sandra Phillips</v>
      </c>
      <c r="T17" s="7" t="str">
        <v>P001</v>
      </c>
      <c r="U17" s="7" t="str">
        <v>Laptop</v>
      </c>
      <c r="V17" s="7" t="str">
        <v>Electronics</v>
      </c>
      <c r="W17" s="7">
        <v>3</v>
      </c>
      <c r="X17" s="7">
        <v>899.99</v>
      </c>
      <c r="Y17" s="7" t="str">
        <v>Credit Card</v>
      </c>
      <c r="Z17" s="7" t="str">
        <v>North</v>
      </c>
      <c r="AA17" s="7" t="str">
        <v>Standard</v>
      </c>
      <c r="AB17" s="7">
        <v>45157</v>
      </c>
      <c r="AC17" s="7">
        <v>2699.97</v>
      </c>
      <c r="AE17" s="7" t="str">
        <v>TRX0117</v>
      </c>
      <c r="AF17" s="7">
        <v>45444</v>
      </c>
      <c r="AG17" s="7" t="str">
        <v>CUST017</v>
      </c>
      <c r="AH17" s="7" t="str">
        <v>Charles Allen</v>
      </c>
      <c r="AI17" s="7" t="str">
        <v>P010</v>
      </c>
      <c r="AJ17" s="7" t="str">
        <v>Keyboard</v>
      </c>
      <c r="AK17" s="7" t="str">
        <v>Electronics</v>
      </c>
      <c r="AL17" s="7">
        <v>1</v>
      </c>
      <c r="AM17" s="7">
        <v>89.99</v>
      </c>
      <c r="AN17" s="7" t="str">
        <v>Cash</v>
      </c>
      <c r="AO17" s="7" t="str">
        <v>North</v>
      </c>
      <c r="AP17" s="7" t="str">
        <v>Basic</v>
      </c>
      <c r="AQ17" s="7">
        <v>45141</v>
      </c>
      <c r="AR17" s="7">
        <v>89.99</v>
      </c>
      <c r="AT17" s="7" t="str">
        <v>TRX0108</v>
      </c>
      <c r="AU17" s="7">
        <v>45547</v>
      </c>
      <c r="AV17" s="7" t="str">
        <v>CUST024</v>
      </c>
      <c r="AW17" s="7" t="str">
        <v>Dorothy Nelson</v>
      </c>
      <c r="AX17" s="7" t="str">
        <v>P007</v>
      </c>
      <c r="AY17" s="7" t="str">
        <v>Desk</v>
      </c>
      <c r="AZ17" s="7" t="str">
        <v>Furniture</v>
      </c>
      <c r="BA17" s="7">
        <v>3</v>
      </c>
      <c r="BB17" s="7">
        <v>299.99</v>
      </c>
      <c r="BC17" s="7" t="str">
        <v>Credit Card</v>
      </c>
      <c r="BD17" s="7" t="str">
        <v>Central</v>
      </c>
      <c r="BE17" s="7" t="str">
        <v>Premium</v>
      </c>
      <c r="BF17" s="7">
        <v>44494</v>
      </c>
      <c r="BG17" s="7">
        <v>899.97</v>
      </c>
    </row>
    <row r="18" spans="1:59">
      <c r="A18" s="7" t="str">
        <v>TRX0203</v>
      </c>
      <c r="B18" s="7">
        <v>45572</v>
      </c>
      <c r="C18" s="7" t="str">
        <v>CUST032</v>
      </c>
      <c r="D18" s="7" t="str">
        <v>Sandra Phillips</v>
      </c>
      <c r="E18" s="7" t="str">
        <v>P003</v>
      </c>
      <c r="F18" s="7" t="str">
        <v>Headphones</v>
      </c>
      <c r="G18" s="7" t="str">
        <v>Electronics</v>
      </c>
      <c r="H18" s="7">
        <v>4</v>
      </c>
      <c r="I18" s="7">
        <v>149.99</v>
      </c>
      <c r="J18" s="7" t="str">
        <v>Credit Card</v>
      </c>
      <c r="K18" s="7" t="str">
        <v>North</v>
      </c>
      <c r="L18" s="7" t="str">
        <v>Premium</v>
      </c>
      <c r="M18" s="7">
        <v>45076</v>
      </c>
      <c r="N18" s="7">
        <v>599.96</v>
      </c>
      <c r="P18" s="7" t="str">
        <v>TRX0158</v>
      </c>
      <c r="Q18" s="7">
        <v>45579</v>
      </c>
      <c r="R18" s="7" t="str">
        <v>CUST027</v>
      </c>
      <c r="S18" s="7" t="str">
        <v>George Adams</v>
      </c>
      <c r="T18" s="7" t="str">
        <v>P001</v>
      </c>
      <c r="U18" s="7" t="str">
        <v>Laptop</v>
      </c>
      <c r="V18" s="7" t="str">
        <v>Electronics</v>
      </c>
      <c r="W18" s="7">
        <v>3</v>
      </c>
      <c r="X18" s="7">
        <v>899.99</v>
      </c>
      <c r="Y18" s="7" t="str">
        <v>PayPal</v>
      </c>
      <c r="Z18" s="7" t="str">
        <v>West</v>
      </c>
      <c r="AA18" s="7" t="str">
        <v>Basic</v>
      </c>
      <c r="AB18" s="7">
        <v>45215</v>
      </c>
      <c r="AC18" s="7">
        <v>2699.97</v>
      </c>
      <c r="AE18" s="7" t="str">
        <v>TRX0220</v>
      </c>
      <c r="AF18" s="7">
        <v>45450</v>
      </c>
      <c r="AG18" s="7" t="str">
        <v>CUST003</v>
      </c>
      <c r="AH18" s="7" t="str">
        <v>Michael Brown</v>
      </c>
      <c r="AI18" s="7" t="str">
        <v>P008</v>
      </c>
      <c r="AJ18" s="7" t="str">
        <v>Bookshelf</v>
      </c>
      <c r="AK18" s="7" t="str">
        <v>Furniture</v>
      </c>
      <c r="AL18" s="7">
        <v>2</v>
      </c>
      <c r="AM18" s="7">
        <v>149.99</v>
      </c>
      <c r="AN18" s="7" t="str">
        <v>Cash</v>
      </c>
      <c r="AO18" s="7" t="str">
        <v>East</v>
      </c>
      <c r="AP18" s="7" t="str">
        <v>Premium</v>
      </c>
      <c r="AQ18" s="7">
        <v>44645</v>
      </c>
      <c r="AR18" s="7">
        <v>299.98</v>
      </c>
      <c r="AT18" s="7" t="str">
        <v>TRX0211</v>
      </c>
      <c r="AU18" s="7">
        <v>45548</v>
      </c>
      <c r="AV18" s="7" t="str">
        <v>CUST046</v>
      </c>
      <c r="AW18" s="7" t="str">
        <v>Kathleen Bennett</v>
      </c>
      <c r="AX18" s="7" t="str">
        <v>P010</v>
      </c>
      <c r="AY18" s="7" t="str">
        <v>Keyboard</v>
      </c>
      <c r="AZ18" s="7" t="str">
        <v>Electronics</v>
      </c>
      <c r="BA18" s="7">
        <v>2</v>
      </c>
      <c r="BB18" s="7">
        <v>89.99</v>
      </c>
      <c r="BC18" s="7" t="str">
        <v>Credit Card</v>
      </c>
      <c r="BD18" s="7" t="str">
        <v>South</v>
      </c>
      <c r="BE18" s="7" t="str">
        <v>Premium</v>
      </c>
      <c r="BF18" s="7">
        <v>44641</v>
      </c>
      <c r="BG18" s="7">
        <v>179.98</v>
      </c>
    </row>
    <row r="19" spans="1:59">
      <c r="A19" s="7" t="str">
        <v>TRX0167</v>
      </c>
      <c r="B19" s="7">
        <v>45589</v>
      </c>
      <c r="C19" s="7" t="str">
        <v>CUST028</v>
      </c>
      <c r="D19" s="7" t="str">
        <v>Betty Campbell</v>
      </c>
      <c r="E19" s="7" t="str">
        <v>P002</v>
      </c>
      <c r="F19" s="7" t="str">
        <v>Smartphone</v>
      </c>
      <c r="G19" s="7" t="str">
        <v>Electronics</v>
      </c>
      <c r="H19" s="7">
        <v>5</v>
      </c>
      <c r="I19" s="7">
        <v>699.99</v>
      </c>
      <c r="J19" s="7" t="str">
        <v>Cash</v>
      </c>
      <c r="K19" s="7" t="str">
        <v>North</v>
      </c>
      <c r="L19" s="7" t="str">
        <v>Premium</v>
      </c>
      <c r="M19" s="7">
        <v>44635</v>
      </c>
      <c r="N19" s="7">
        <v>3499.95</v>
      </c>
      <c r="P19" s="7" t="str">
        <v>TRX0173</v>
      </c>
      <c r="Q19" s="7">
        <v>45581</v>
      </c>
      <c r="R19" s="7" t="str">
        <v>CUST018</v>
      </c>
      <c r="S19" s="7" t="str">
        <v>Barbara Young</v>
      </c>
      <c r="T19" s="7" t="str">
        <v>P002</v>
      </c>
      <c r="U19" s="7" t="str">
        <v>Smartphone</v>
      </c>
      <c r="V19" s="7" t="str">
        <v>Electronics</v>
      </c>
      <c r="W19" s="7">
        <v>5</v>
      </c>
      <c r="X19" s="7">
        <v>699.99</v>
      </c>
      <c r="Y19" s="7" t="str">
        <v>Cash</v>
      </c>
      <c r="Z19" s="7" t="str">
        <v>East</v>
      </c>
      <c r="AA19" s="7" t="str">
        <v>Standard</v>
      </c>
      <c r="AB19" s="7">
        <v>45008</v>
      </c>
      <c r="AC19" s="7">
        <v>3499.95</v>
      </c>
      <c r="AE19" s="7" t="str">
        <v>TRX0093</v>
      </c>
      <c r="AF19" s="7">
        <v>45452</v>
      </c>
      <c r="AG19" s="7" t="str">
        <v>CUST050</v>
      </c>
      <c r="AH19" s="7" t="str">
        <v>Julie Foster</v>
      </c>
      <c r="AI19" s="7" t="str">
        <v>P005</v>
      </c>
      <c r="AJ19" s="7" t="str">
        <v>Blender</v>
      </c>
      <c r="AK19" s="7" t="str">
        <v>Appliances</v>
      </c>
      <c r="AL19" s="7">
        <v>4</v>
      </c>
      <c r="AM19" s="7">
        <v>59.99</v>
      </c>
      <c r="AN19" s="7" t="str">
        <v>Cash</v>
      </c>
      <c r="AO19" s="7" t="str">
        <v>East</v>
      </c>
      <c r="AP19" s="7" t="str">
        <v>Standard</v>
      </c>
      <c r="AQ19" s="7">
        <v>44435</v>
      </c>
      <c r="AR19" s="7">
        <v>239.96</v>
      </c>
      <c r="AT19" s="7" t="str">
        <v>TRX0077</v>
      </c>
      <c r="AU19" s="7">
        <v>45554</v>
      </c>
      <c r="AV19" s="7" t="str">
        <v>CUST019</v>
      </c>
      <c r="AW19" s="7" t="str">
        <v>Daniel King</v>
      </c>
      <c r="AX19" s="7" t="str">
        <v>P010</v>
      </c>
      <c r="AY19" s="7" t="str">
        <v>Keyboard</v>
      </c>
      <c r="AZ19" s="7" t="str">
        <v>Electronics</v>
      </c>
      <c r="BA19" s="7">
        <v>5</v>
      </c>
      <c r="BB19" s="7">
        <v>89.99</v>
      </c>
      <c r="BC19" s="7" t="str">
        <v>Credit Card</v>
      </c>
      <c r="BD19" s="7" t="str">
        <v>East</v>
      </c>
      <c r="BE19" s="7" t="str">
        <v>Premium</v>
      </c>
      <c r="BF19" s="7">
        <v>44446</v>
      </c>
      <c r="BG19" s="7">
        <v>449.95</v>
      </c>
    </row>
    <row r="20" spans="1:59">
      <c r="A20" s="7" t="str">
        <v>TRX0153</v>
      </c>
      <c r="B20" s="7">
        <v>45592</v>
      </c>
      <c r="C20" s="7" t="str">
        <v>CUST049</v>
      </c>
      <c r="D20" s="7" t="str">
        <v>Raymond Ross</v>
      </c>
      <c r="E20" s="7" t="str">
        <v>P010</v>
      </c>
      <c r="F20" s="7" t="str">
        <v>Keyboard</v>
      </c>
      <c r="G20" s="7" t="str">
        <v>Electronics</v>
      </c>
      <c r="H20" s="7">
        <v>3</v>
      </c>
      <c r="I20" s="7">
        <v>89.99</v>
      </c>
      <c r="J20" s="7" t="str">
        <v>Credit Card</v>
      </c>
      <c r="K20" s="7" t="str">
        <v>North</v>
      </c>
      <c r="L20" s="7" t="str">
        <v>Standard</v>
      </c>
      <c r="M20" s="7">
        <v>44615</v>
      </c>
      <c r="N20" s="7">
        <v>269.97000000000003</v>
      </c>
      <c r="P20" s="7" t="str">
        <v>TRX0034</v>
      </c>
      <c r="Q20" s="7">
        <v>45581</v>
      </c>
      <c r="R20" s="7" t="str">
        <v>CUST049</v>
      </c>
      <c r="S20" s="7" t="str">
        <v>Raymond Ross</v>
      </c>
      <c r="T20" s="7" t="str">
        <v>P002</v>
      </c>
      <c r="U20" s="7" t="str">
        <v>Smartphone</v>
      </c>
      <c r="V20" s="7" t="str">
        <v>Electronics</v>
      </c>
      <c r="W20" s="7">
        <v>4</v>
      </c>
      <c r="X20" s="7">
        <v>699.99</v>
      </c>
      <c r="Y20" s="7" t="str">
        <v>Credit Card</v>
      </c>
      <c r="Z20" s="7" t="str">
        <v>Central</v>
      </c>
      <c r="AA20" s="7" t="str">
        <v>Basic</v>
      </c>
      <c r="AB20" s="7">
        <v>45385</v>
      </c>
      <c r="AC20" s="7">
        <v>2799.96</v>
      </c>
      <c r="AE20" s="7" t="str">
        <v>TRX0088</v>
      </c>
      <c r="AF20" s="7">
        <v>45456</v>
      </c>
      <c r="AG20" s="7" t="str">
        <v>CUST006</v>
      </c>
      <c r="AH20" s="7" t="str">
        <v>Lisa Anderson</v>
      </c>
      <c r="AI20" s="7" t="str">
        <v>P010</v>
      </c>
      <c r="AJ20" s="7" t="str">
        <v>Keyboard</v>
      </c>
      <c r="AK20" s="7" t="str">
        <v>Electronics</v>
      </c>
      <c r="AL20" s="7">
        <v>5</v>
      </c>
      <c r="AM20" s="7">
        <v>89.99</v>
      </c>
      <c r="AN20" s="7" t="str">
        <v>Cash</v>
      </c>
      <c r="AO20" s="7" t="str">
        <v>Central</v>
      </c>
      <c r="AP20" s="7" t="str">
        <v>Premium</v>
      </c>
      <c r="AQ20" s="7">
        <v>44579</v>
      </c>
      <c r="AR20" s="7">
        <v>449.95</v>
      </c>
      <c r="AT20" s="7" t="str">
        <v>TRX0203</v>
      </c>
      <c r="AU20" s="7">
        <v>45572</v>
      </c>
      <c r="AV20" s="7" t="str">
        <v>CUST032</v>
      </c>
      <c r="AW20" s="7" t="str">
        <v>Sandra Phillips</v>
      </c>
      <c r="AX20" s="7" t="str">
        <v>P003</v>
      </c>
      <c r="AY20" s="7" t="str">
        <v>Headphones</v>
      </c>
      <c r="AZ20" s="7" t="str">
        <v>Electronics</v>
      </c>
      <c r="BA20" s="7">
        <v>4</v>
      </c>
      <c r="BB20" s="7">
        <v>149.99</v>
      </c>
      <c r="BC20" s="7" t="str">
        <v>Credit Card</v>
      </c>
      <c r="BD20" s="7" t="str">
        <v>North</v>
      </c>
      <c r="BE20" s="7" t="str">
        <v>Premium</v>
      </c>
      <c r="BF20" s="7">
        <v>45076</v>
      </c>
      <c r="BG20" s="7">
        <v>599.96</v>
      </c>
    </row>
    <row r="21" spans="1:59">
      <c r="A21" s="7" t="str">
        <v>TRX0060</v>
      </c>
      <c r="B21" s="7">
        <v>45603</v>
      </c>
      <c r="C21" s="7" t="str">
        <v>CUST012</v>
      </c>
      <c r="D21" s="7" t="str">
        <v>Patricia Moore</v>
      </c>
      <c r="E21" s="7" t="str">
        <v>P010</v>
      </c>
      <c r="F21" s="7" t="str">
        <v>Keyboard</v>
      </c>
      <c r="G21" s="7" t="str">
        <v>Electronics</v>
      </c>
      <c r="H21" s="7">
        <v>3</v>
      </c>
      <c r="I21" s="7">
        <v>89.99</v>
      </c>
      <c r="J21" s="7" t="str">
        <v>Credit Card</v>
      </c>
      <c r="K21" s="7" t="str">
        <v>North</v>
      </c>
      <c r="L21" s="7" t="str">
        <v>Premium</v>
      </c>
      <c r="M21" s="7">
        <v>44420</v>
      </c>
      <c r="N21" s="7">
        <v>269.97000000000003</v>
      </c>
      <c r="P21" s="7" t="str">
        <v>TRX0167</v>
      </c>
      <c r="Q21" s="7">
        <v>45589</v>
      </c>
      <c r="R21" s="7" t="str">
        <v>CUST028</v>
      </c>
      <c r="S21" s="7" t="str">
        <v>Betty Campbell</v>
      </c>
      <c r="T21" s="7" t="str">
        <v>P002</v>
      </c>
      <c r="U21" s="7" t="str">
        <v>Smartphone</v>
      </c>
      <c r="V21" s="7" t="str">
        <v>Electronics</v>
      </c>
      <c r="W21" s="7">
        <v>5</v>
      </c>
      <c r="X21" s="7">
        <v>699.99</v>
      </c>
      <c r="Y21" s="7" t="str">
        <v>Cash</v>
      </c>
      <c r="Z21" s="7" t="str">
        <v>North</v>
      </c>
      <c r="AA21" s="7" t="str">
        <v>Premium</v>
      </c>
      <c r="AB21" s="7">
        <v>44635</v>
      </c>
      <c r="AC21" s="7">
        <v>3499.95</v>
      </c>
      <c r="AE21" s="7" t="str">
        <v>TRX0007</v>
      </c>
      <c r="AF21" s="7">
        <v>45469</v>
      </c>
      <c r="AG21" s="7" t="str">
        <v>CUST009</v>
      </c>
      <c r="AH21" s="7" t="str">
        <v>Robert Thomas</v>
      </c>
      <c r="AI21" s="7" t="str">
        <v>P010</v>
      </c>
      <c r="AJ21" s="7" t="str">
        <v>Keyboard</v>
      </c>
      <c r="AK21" s="7" t="str">
        <v>Electronics</v>
      </c>
      <c r="AL21" s="7">
        <v>2</v>
      </c>
      <c r="AM21" s="7">
        <v>89.99</v>
      </c>
      <c r="AN21" s="7" t="str">
        <v>Cash</v>
      </c>
      <c r="AO21" s="7" t="str">
        <v>West</v>
      </c>
      <c r="AP21" s="7" t="str">
        <v>Basic</v>
      </c>
      <c r="AQ21" s="7">
        <v>44438</v>
      </c>
      <c r="AR21" s="7">
        <v>179.98</v>
      </c>
      <c r="AT21" s="7" t="str">
        <v>TRX0060</v>
      </c>
      <c r="AU21" s="7">
        <v>45603</v>
      </c>
      <c r="AV21" s="7" t="str">
        <v>CUST012</v>
      </c>
      <c r="AW21" s="7" t="str">
        <v>Patricia Moore</v>
      </c>
      <c r="AX21" s="7" t="str">
        <v>P010</v>
      </c>
      <c r="AY21" s="7" t="str">
        <v>Keyboard</v>
      </c>
      <c r="AZ21" s="7" t="str">
        <v>Electronics</v>
      </c>
      <c r="BA21" s="7">
        <v>3</v>
      </c>
      <c r="BB21" s="7">
        <v>89.99</v>
      </c>
      <c r="BC21" s="7" t="str">
        <v>Credit Card</v>
      </c>
      <c r="BD21" s="7" t="str">
        <v>North</v>
      </c>
      <c r="BE21" s="7" t="str">
        <v>Premium</v>
      </c>
      <c r="BF21" s="7">
        <v>44420</v>
      </c>
      <c r="BG21" s="7">
        <v>269.97000000000003</v>
      </c>
    </row>
    <row r="22" spans="1:59">
      <c r="A22" s="7" t="str">
        <v>TRX0090</v>
      </c>
      <c r="B22" s="7">
        <v>45605</v>
      </c>
      <c r="C22" s="7" t="str">
        <v>CUST020</v>
      </c>
      <c r="D22" s="7" t="str">
        <v>Margaret Wright</v>
      </c>
      <c r="E22" s="7" t="str">
        <v>P009</v>
      </c>
      <c r="F22" s="7" t="str">
        <v>Monitor</v>
      </c>
      <c r="G22" s="7" t="str">
        <v>Electronics</v>
      </c>
      <c r="H22" s="7">
        <v>1</v>
      </c>
      <c r="I22" s="7">
        <v>249.99</v>
      </c>
      <c r="J22" s="7" t="str">
        <v>Credit Card</v>
      </c>
      <c r="K22" s="7" t="str">
        <v>North</v>
      </c>
      <c r="L22" s="7" t="str">
        <v>Premium</v>
      </c>
      <c r="M22" s="7">
        <v>44828</v>
      </c>
      <c r="N22" s="7">
        <v>249.99</v>
      </c>
      <c r="P22" s="7" t="str">
        <v>TRX0148</v>
      </c>
      <c r="Q22" s="7">
        <v>45619</v>
      </c>
      <c r="R22" s="7" t="str">
        <v>CUST004</v>
      </c>
      <c r="S22" s="7" t="str">
        <v>Sarah Davis</v>
      </c>
      <c r="T22" s="7" t="str">
        <v>P002</v>
      </c>
      <c r="U22" s="7" t="str">
        <v>Smartphone</v>
      </c>
      <c r="V22" s="7" t="str">
        <v>Electronics</v>
      </c>
      <c r="W22" s="7">
        <v>3</v>
      </c>
      <c r="X22" s="7">
        <v>699.99</v>
      </c>
      <c r="Y22" s="7" t="str">
        <v>PayPal</v>
      </c>
      <c r="Z22" s="7" t="str">
        <v>West</v>
      </c>
      <c r="AA22" s="7" t="str">
        <v>Standard</v>
      </c>
      <c r="AB22" s="7">
        <v>44583</v>
      </c>
      <c r="AC22" s="7">
        <v>2099.9699999999998</v>
      </c>
      <c r="AE22" s="7" t="str">
        <v>TRX0052</v>
      </c>
      <c r="AF22" s="7">
        <v>45476</v>
      </c>
      <c r="AG22" s="7" t="str">
        <v>CUST022</v>
      </c>
      <c r="AH22" s="7" t="str">
        <v>Susan Green</v>
      </c>
      <c r="AI22" s="7" t="str">
        <v>P010</v>
      </c>
      <c r="AJ22" s="7" t="str">
        <v>Keyboard</v>
      </c>
      <c r="AK22" s="7" t="str">
        <v>Electronics</v>
      </c>
      <c r="AL22" s="7">
        <v>1</v>
      </c>
      <c r="AM22" s="7">
        <v>89.99</v>
      </c>
      <c r="AN22" s="7" t="str">
        <v>Cash</v>
      </c>
      <c r="AO22" s="7" t="str">
        <v>South</v>
      </c>
      <c r="AP22" s="7" t="str">
        <v>Standard</v>
      </c>
      <c r="AQ22" s="7">
        <v>44611</v>
      </c>
      <c r="AR22" s="7">
        <v>89.99</v>
      </c>
      <c r="AT22" s="7" t="str">
        <v>TRX0109</v>
      </c>
      <c r="AU22" s="7">
        <v>45604</v>
      </c>
      <c r="AV22" s="7" t="str">
        <v>CUST010</v>
      </c>
      <c r="AW22" s="7" t="str">
        <v>Maria Garcia</v>
      </c>
      <c r="AX22" s="7" t="str">
        <v>P008</v>
      </c>
      <c r="AY22" s="7" t="str">
        <v>Bookshelf</v>
      </c>
      <c r="AZ22" s="7" t="str">
        <v>Furniture</v>
      </c>
      <c r="BA22" s="7">
        <v>2</v>
      </c>
      <c r="BB22" s="7">
        <v>149.99</v>
      </c>
      <c r="BC22" s="7" t="str">
        <v>Credit Card</v>
      </c>
      <c r="BD22" s="7" t="str">
        <v>West</v>
      </c>
      <c r="BE22" s="7" t="str">
        <v>Premium</v>
      </c>
      <c r="BF22" s="7">
        <v>44848</v>
      </c>
      <c r="BG22" s="7">
        <v>299.98</v>
      </c>
    </row>
    <row r="23" spans="1:59">
      <c r="A23" s="7" t="str">
        <v>TRX0035</v>
      </c>
      <c r="B23" s="7">
        <v>45607</v>
      </c>
      <c r="C23" s="7" t="str">
        <v>CUST041</v>
      </c>
      <c r="D23" s="7" t="str">
        <v>Peter Richardson</v>
      </c>
      <c r="E23" s="7" t="str">
        <v>P003</v>
      </c>
      <c r="F23" s="7" t="str">
        <v>Headphones</v>
      </c>
      <c r="G23" s="7" t="str">
        <v>Electronics</v>
      </c>
      <c r="H23" s="7">
        <v>3</v>
      </c>
      <c r="I23" s="7">
        <v>149.99</v>
      </c>
      <c r="J23" s="7" t="str">
        <v>Cash</v>
      </c>
      <c r="K23" s="7" t="str">
        <v>North</v>
      </c>
      <c r="L23" s="7" t="str">
        <v>Basic</v>
      </c>
      <c r="M23" s="7">
        <v>44769</v>
      </c>
      <c r="N23" s="7">
        <v>449.97</v>
      </c>
      <c r="P23" s="7" t="str">
        <v>TRX0201</v>
      </c>
      <c r="Q23" s="7">
        <v>45627</v>
      </c>
      <c r="R23" s="7" t="str">
        <v>CUST025</v>
      </c>
      <c r="S23" s="7" t="str">
        <v>Mark Carter</v>
      </c>
      <c r="T23" s="7" t="str">
        <v>P002</v>
      </c>
      <c r="U23" s="7" t="str">
        <v>Smartphone</v>
      </c>
      <c r="V23" s="7" t="str">
        <v>Electronics</v>
      </c>
      <c r="W23" s="7">
        <v>5</v>
      </c>
      <c r="X23" s="7">
        <v>699.99</v>
      </c>
      <c r="Y23" s="7" t="str">
        <v>Debit Card</v>
      </c>
      <c r="Z23" s="7" t="str">
        <v>West</v>
      </c>
      <c r="AA23" s="7" t="str">
        <v>Standard</v>
      </c>
      <c r="AB23" s="7">
        <v>44944</v>
      </c>
      <c r="AC23" s="7">
        <v>3499.95</v>
      </c>
      <c r="AE23" s="7" t="str">
        <v>TRX0136</v>
      </c>
      <c r="AF23" s="7">
        <v>45482</v>
      </c>
      <c r="AG23" s="7" t="str">
        <v>CUST049</v>
      </c>
      <c r="AH23" s="7" t="str">
        <v>Raymond Ross</v>
      </c>
      <c r="AI23" s="7" t="str">
        <v>P005</v>
      </c>
      <c r="AJ23" s="7" t="str">
        <v>Blender</v>
      </c>
      <c r="AK23" s="7" t="str">
        <v>Appliances</v>
      </c>
      <c r="AL23" s="7">
        <v>4</v>
      </c>
      <c r="AM23" s="7">
        <v>59.99</v>
      </c>
      <c r="AN23" s="7" t="str">
        <v>Cash</v>
      </c>
      <c r="AO23" s="7" t="str">
        <v>South</v>
      </c>
      <c r="AP23" s="7" t="str">
        <v>Standard</v>
      </c>
      <c r="AQ23" s="7">
        <v>44509</v>
      </c>
      <c r="AR23" s="7">
        <v>239.96</v>
      </c>
      <c r="AT23" s="7" t="str">
        <v>TRX0090</v>
      </c>
      <c r="AU23" s="7">
        <v>45605</v>
      </c>
      <c r="AV23" s="7" t="str">
        <v>CUST020</v>
      </c>
      <c r="AW23" s="7" t="str">
        <v>Margaret Wright</v>
      </c>
      <c r="AX23" s="7" t="str">
        <v>P009</v>
      </c>
      <c r="AY23" s="7" t="str">
        <v>Monitor</v>
      </c>
      <c r="AZ23" s="7" t="str">
        <v>Electronics</v>
      </c>
      <c r="BA23" s="7">
        <v>1</v>
      </c>
      <c r="BB23" s="7">
        <v>249.99</v>
      </c>
      <c r="BC23" s="7" t="str">
        <v>Credit Card</v>
      </c>
      <c r="BD23" s="7" t="str">
        <v>North</v>
      </c>
      <c r="BE23" s="7" t="str">
        <v>Premium</v>
      </c>
      <c r="BF23" s="7">
        <v>44828</v>
      </c>
      <c r="BG23" s="7">
        <v>249.99</v>
      </c>
    </row>
    <row r="24" spans="1:59">
      <c r="A24" s="7" t="str">
        <v>TRX0012</v>
      </c>
      <c r="B24" s="7">
        <v>45622</v>
      </c>
      <c r="C24" s="7" t="str">
        <v>CUST045</v>
      </c>
      <c r="D24" s="7" t="str">
        <v>Douglas Watson</v>
      </c>
      <c r="E24" s="7" t="str">
        <v>P009</v>
      </c>
      <c r="F24" s="7" t="str">
        <v>Monitor</v>
      </c>
      <c r="G24" s="7" t="str">
        <v>Electronics</v>
      </c>
      <c r="H24" s="7">
        <v>5</v>
      </c>
      <c r="I24" s="7">
        <v>249.99</v>
      </c>
      <c r="J24" s="7" t="str">
        <v>Credit Card</v>
      </c>
      <c r="K24" s="7" t="str">
        <v>North</v>
      </c>
      <c r="L24" s="7" t="str">
        <v>Basic</v>
      </c>
      <c r="M24" s="7">
        <v>44873</v>
      </c>
      <c r="N24" s="7">
        <v>1249.95</v>
      </c>
      <c r="P24" s="7" t="str">
        <v>TRX0066</v>
      </c>
      <c r="Q24" s="7">
        <v>45630</v>
      </c>
      <c r="R24" s="7" t="str">
        <v>CUST024</v>
      </c>
      <c r="S24" s="7" t="str">
        <v>Dorothy Nelson</v>
      </c>
      <c r="T24" s="7" t="str">
        <v>P002</v>
      </c>
      <c r="U24" s="7" t="str">
        <v>Smartphone</v>
      </c>
      <c r="V24" s="7" t="str">
        <v>Electronics</v>
      </c>
      <c r="W24" s="7">
        <v>4</v>
      </c>
      <c r="X24" s="7">
        <v>699.99</v>
      </c>
      <c r="Y24" s="7" t="str">
        <v>Credit Card</v>
      </c>
      <c r="Z24" s="7" t="str">
        <v>North</v>
      </c>
      <c r="AA24" s="7" t="str">
        <v>Premium</v>
      </c>
      <c r="AB24" s="7">
        <v>44703</v>
      </c>
      <c r="AC24" s="7">
        <v>2799.96</v>
      </c>
      <c r="AE24" s="7" t="str">
        <v>TRX0018</v>
      </c>
      <c r="AF24" s="7">
        <v>45484</v>
      </c>
      <c r="AG24" s="7" t="str">
        <v>CUST013</v>
      </c>
      <c r="AH24" s="7" t="str">
        <v>Joseph Jackson</v>
      </c>
      <c r="AI24" s="7" t="str">
        <v>P003</v>
      </c>
      <c r="AJ24" s="7" t="str">
        <v>Headphones</v>
      </c>
      <c r="AK24" s="7" t="str">
        <v>Electronics</v>
      </c>
      <c r="AL24" s="7">
        <v>1</v>
      </c>
      <c r="AM24" s="7">
        <v>149.99</v>
      </c>
      <c r="AN24" s="7" t="str">
        <v>Cash</v>
      </c>
      <c r="AO24" s="7" t="str">
        <v>Central</v>
      </c>
      <c r="AP24" s="7" t="str">
        <v>Standard</v>
      </c>
      <c r="AQ24" s="7">
        <v>44909</v>
      </c>
      <c r="AR24" s="7">
        <v>149.99</v>
      </c>
      <c r="AT24" s="7" t="str">
        <v>TRX0066</v>
      </c>
      <c r="AU24" s="7">
        <v>45630</v>
      </c>
      <c r="AV24" s="7" t="str">
        <v>CUST024</v>
      </c>
      <c r="AW24" s="7" t="str">
        <v>Dorothy Nelson</v>
      </c>
      <c r="AX24" s="7" t="str">
        <v>P002</v>
      </c>
      <c r="AY24" s="7" t="str">
        <v>Smartphone</v>
      </c>
      <c r="AZ24" s="7" t="str">
        <v>Electronics</v>
      </c>
      <c r="BA24" s="7">
        <v>4</v>
      </c>
      <c r="BB24" s="7">
        <v>699.99</v>
      </c>
      <c r="BC24" s="7" t="str">
        <v>Credit Card</v>
      </c>
      <c r="BD24" s="7" t="str">
        <v>North</v>
      </c>
      <c r="BE24" s="7" t="str">
        <v>Premium</v>
      </c>
      <c r="BF24" s="7">
        <v>44703</v>
      </c>
      <c r="BG24" s="7">
        <v>2799.96</v>
      </c>
    </row>
    <row r="25" spans="1:59">
      <c r="A25" s="7" t="str">
        <v>TRX0066</v>
      </c>
      <c r="B25" s="7">
        <v>45630</v>
      </c>
      <c r="C25" s="7" t="str">
        <v>CUST024</v>
      </c>
      <c r="D25" s="7" t="str">
        <v>Dorothy Nelson</v>
      </c>
      <c r="E25" s="7" t="str">
        <v>P002</v>
      </c>
      <c r="F25" s="7" t="str">
        <v>Smartphone</v>
      </c>
      <c r="G25" s="7" t="str">
        <v>Electronics</v>
      </c>
      <c r="H25" s="7">
        <v>4</v>
      </c>
      <c r="I25" s="7">
        <v>699.99</v>
      </c>
      <c r="J25" s="7" t="str">
        <v>Credit Card</v>
      </c>
      <c r="K25" s="7" t="str">
        <v>North</v>
      </c>
      <c r="L25" s="7" t="str">
        <v>Premium</v>
      </c>
      <c r="M25" s="7">
        <v>44703</v>
      </c>
      <c r="N25" s="7">
        <v>2799.96</v>
      </c>
      <c r="P25" s="7" t="str">
        <v>TRX0032</v>
      </c>
      <c r="Q25" s="7">
        <v>45638</v>
      </c>
      <c r="R25" s="7" t="str">
        <v>CUST041</v>
      </c>
      <c r="S25" s="7" t="str">
        <v>Peter Richardson</v>
      </c>
      <c r="T25" s="7" t="str">
        <v>P001</v>
      </c>
      <c r="U25" s="7" t="str">
        <v>Laptop</v>
      </c>
      <c r="V25" s="7" t="str">
        <v>Electronics</v>
      </c>
      <c r="W25" s="7">
        <v>2</v>
      </c>
      <c r="X25" s="7">
        <v>899.99</v>
      </c>
      <c r="Y25" s="7" t="str">
        <v>Cash</v>
      </c>
      <c r="Z25" s="7" t="str">
        <v>North</v>
      </c>
      <c r="AA25" s="7" t="str">
        <v>Basic</v>
      </c>
      <c r="AB25" s="7">
        <v>44406</v>
      </c>
      <c r="AC25" s="7">
        <v>1799.98</v>
      </c>
      <c r="AE25" s="7" t="str">
        <v>TRX0097</v>
      </c>
      <c r="AF25" s="7">
        <v>45487</v>
      </c>
      <c r="AG25" s="7" t="str">
        <v>CUST033</v>
      </c>
      <c r="AH25" s="7" t="str">
        <v>Frank Torres</v>
      </c>
      <c r="AI25" s="7" t="str">
        <v>P006</v>
      </c>
      <c r="AJ25" s="7" t="str">
        <v>Office Chair</v>
      </c>
      <c r="AK25" s="7" t="str">
        <v>Furniture</v>
      </c>
      <c r="AL25" s="7">
        <v>2</v>
      </c>
      <c r="AM25" s="7">
        <v>199.99</v>
      </c>
      <c r="AN25" s="7" t="str">
        <v>Cash</v>
      </c>
      <c r="AO25" s="7" t="str">
        <v>North</v>
      </c>
      <c r="AP25" s="7" t="str">
        <v>Basic</v>
      </c>
      <c r="AQ25" s="7">
        <v>44541</v>
      </c>
      <c r="AR25" s="7">
        <v>399.98</v>
      </c>
      <c r="AT25" s="7" t="str">
        <v>TRX0180</v>
      </c>
      <c r="AU25" s="7">
        <v>45635</v>
      </c>
      <c r="AV25" s="7" t="str">
        <v>CUST036</v>
      </c>
      <c r="AW25" s="7" t="str">
        <v>Nancy Collins</v>
      </c>
      <c r="AX25" s="7" t="str">
        <v>P009</v>
      </c>
      <c r="AY25" s="7" t="str">
        <v>Monitor</v>
      </c>
      <c r="AZ25" s="7" t="str">
        <v>Electronics</v>
      </c>
      <c r="BA25" s="7">
        <v>2</v>
      </c>
      <c r="BB25" s="7">
        <v>249.99</v>
      </c>
      <c r="BC25" s="7" t="str">
        <v>Credit Card</v>
      </c>
      <c r="BD25" s="7" t="str">
        <v>Central</v>
      </c>
      <c r="BE25" s="7" t="str">
        <v>Premium</v>
      </c>
      <c r="BF25" s="7">
        <v>44396</v>
      </c>
      <c r="BG25" s="7">
        <v>499.98</v>
      </c>
    </row>
    <row r="26" spans="1:59">
      <c r="A26" s="7" t="str">
        <v>TRX0032</v>
      </c>
      <c r="B26" s="7">
        <v>45638</v>
      </c>
      <c r="C26" s="7" t="str">
        <v>CUST041</v>
      </c>
      <c r="D26" s="7" t="str">
        <v>Peter Richardson</v>
      </c>
      <c r="E26" s="7" t="str">
        <v>P001</v>
      </c>
      <c r="F26" s="7" t="str">
        <v>Laptop</v>
      </c>
      <c r="G26" s="7" t="str">
        <v>Electronics</v>
      </c>
      <c r="H26" s="7">
        <v>2</v>
      </c>
      <c r="I26" s="7">
        <v>899.99</v>
      </c>
      <c r="J26" s="7" t="str">
        <v>Cash</v>
      </c>
      <c r="K26" s="7" t="str">
        <v>North</v>
      </c>
      <c r="L26" s="7" t="str">
        <v>Basic</v>
      </c>
      <c r="M26" s="7">
        <v>44406</v>
      </c>
      <c r="N26" s="7">
        <v>1799.98</v>
      </c>
      <c r="P26" s="7" t="str">
        <v>TRX0163</v>
      </c>
      <c r="Q26" s="7">
        <v>45645</v>
      </c>
      <c r="R26" s="7" t="str">
        <v>CUST019</v>
      </c>
      <c r="S26" s="7" t="str">
        <v>Daniel King</v>
      </c>
      <c r="T26" s="7" t="str">
        <v>P001</v>
      </c>
      <c r="U26" s="7" t="str">
        <v>Laptop</v>
      </c>
      <c r="V26" s="7" t="str">
        <v>Electronics</v>
      </c>
      <c r="W26" s="7">
        <v>5</v>
      </c>
      <c r="X26" s="7">
        <v>899.99</v>
      </c>
      <c r="Y26" s="7" t="str">
        <v>Debit Card</v>
      </c>
      <c r="Z26" s="7" t="str">
        <v>East</v>
      </c>
      <c r="AA26" s="7" t="str">
        <v>Standard</v>
      </c>
      <c r="AB26" s="7">
        <v>44625</v>
      </c>
      <c r="AC26" s="7">
        <v>4499.95</v>
      </c>
      <c r="AE26" s="7" t="str">
        <v>TRX0216</v>
      </c>
      <c r="AF26" s="7">
        <v>45490</v>
      </c>
      <c r="AG26" s="7" t="str">
        <v>CUST041</v>
      </c>
      <c r="AH26" s="7" t="str">
        <v>Peter Richardson</v>
      </c>
      <c r="AI26" s="7" t="str">
        <v>P008</v>
      </c>
      <c r="AJ26" s="7" t="str">
        <v>Bookshelf</v>
      </c>
      <c r="AK26" s="7" t="str">
        <v>Furniture</v>
      </c>
      <c r="AL26" s="7">
        <v>3</v>
      </c>
      <c r="AM26" s="7">
        <v>149.99</v>
      </c>
      <c r="AN26" s="7" t="str">
        <v>Cash</v>
      </c>
      <c r="AO26" s="7" t="str">
        <v>Central</v>
      </c>
      <c r="AP26" s="7" t="str">
        <v>Premium</v>
      </c>
      <c r="AQ26" s="7">
        <v>45199</v>
      </c>
      <c r="AR26" s="7">
        <v>449.97</v>
      </c>
      <c r="AT26" s="7" t="str">
        <v>TRX0156</v>
      </c>
      <c r="AU26" s="7">
        <v>45655</v>
      </c>
      <c r="AV26" s="7" t="str">
        <v>CUST009</v>
      </c>
      <c r="AW26" s="7" t="str">
        <v>Robert Thomas</v>
      </c>
      <c r="AX26" s="7" t="str">
        <v>P010</v>
      </c>
      <c r="AY26" s="7" t="str">
        <v>Keyboard</v>
      </c>
      <c r="AZ26" s="7" t="str">
        <v>Electronics</v>
      </c>
      <c r="BA26" s="7">
        <v>1</v>
      </c>
      <c r="BB26" s="7">
        <v>89.99</v>
      </c>
      <c r="BC26" s="7" t="str">
        <v>Credit Card</v>
      </c>
      <c r="BD26" s="7" t="str">
        <v>South</v>
      </c>
      <c r="BE26" s="7" t="str">
        <v>Premium</v>
      </c>
      <c r="BF26" s="7">
        <v>44591</v>
      </c>
      <c r="BG26" s="7">
        <v>89.99</v>
      </c>
    </row>
    <row r="27" spans="1:59">
      <c r="A27" s="7" t="str">
        <v>TRX0207</v>
      </c>
      <c r="B27" s="7">
        <v>45657</v>
      </c>
      <c r="C27" s="7" t="str">
        <v>CUST025</v>
      </c>
      <c r="D27" s="7" t="str">
        <v>Mark Carter</v>
      </c>
      <c r="E27" s="7" t="str">
        <v>P001</v>
      </c>
      <c r="F27" s="7" t="str">
        <v>Laptop</v>
      </c>
      <c r="G27" s="7" t="str">
        <v>Electronics</v>
      </c>
      <c r="H27" s="7">
        <v>1</v>
      </c>
      <c r="I27" s="7">
        <v>899.99</v>
      </c>
      <c r="J27" s="7" t="str">
        <v>PayPal</v>
      </c>
      <c r="K27" s="7" t="str">
        <v>North</v>
      </c>
      <c r="L27" s="7" t="str">
        <v>Premium</v>
      </c>
      <c r="M27" s="7">
        <v>45050</v>
      </c>
      <c r="N27" s="7">
        <v>899.99</v>
      </c>
      <c r="P27" s="7" t="str">
        <v>TRX0125</v>
      </c>
      <c r="Q27" s="7">
        <v>45666</v>
      </c>
      <c r="R27" s="7" t="str">
        <v>CUST026</v>
      </c>
      <c r="S27" s="7" t="str">
        <v>Karen Hill</v>
      </c>
      <c r="T27" s="7" t="str">
        <v>P002</v>
      </c>
      <c r="U27" s="7" t="str">
        <v>Smartphone</v>
      </c>
      <c r="V27" s="7" t="str">
        <v>Electronics</v>
      </c>
      <c r="W27" s="7">
        <v>3</v>
      </c>
      <c r="X27" s="7">
        <v>699.99</v>
      </c>
      <c r="Y27" s="7" t="str">
        <v>Credit Card</v>
      </c>
      <c r="Z27" s="7" t="str">
        <v>Central</v>
      </c>
      <c r="AA27" s="7" t="str">
        <v>Premium</v>
      </c>
      <c r="AB27" s="7">
        <v>45105</v>
      </c>
      <c r="AC27" s="7">
        <v>2099.9699999999998</v>
      </c>
      <c r="AE27" s="7" t="str">
        <v>TRX0131</v>
      </c>
      <c r="AF27" s="7">
        <v>45491</v>
      </c>
      <c r="AG27" s="7" t="str">
        <v>CUST026</v>
      </c>
      <c r="AH27" s="7" t="str">
        <v>Karen Hill</v>
      </c>
      <c r="AI27" s="7" t="str">
        <v>P006</v>
      </c>
      <c r="AJ27" s="7" t="str">
        <v>Office Chair</v>
      </c>
      <c r="AK27" s="7" t="str">
        <v>Furniture</v>
      </c>
      <c r="AL27" s="7">
        <v>3</v>
      </c>
      <c r="AM27" s="7">
        <v>199.99</v>
      </c>
      <c r="AN27" s="7" t="str">
        <v>Cash</v>
      </c>
      <c r="AO27" s="7" t="str">
        <v>North</v>
      </c>
      <c r="AP27" s="7" t="str">
        <v>Premium</v>
      </c>
      <c r="AQ27" s="7">
        <v>45254</v>
      </c>
      <c r="AR27" s="7">
        <v>599.97</v>
      </c>
      <c r="AT27" s="7" t="str">
        <v>TRX0056</v>
      </c>
      <c r="AU27" s="7">
        <v>45660</v>
      </c>
      <c r="AV27" s="7" t="str">
        <v>CUST019</v>
      </c>
      <c r="AW27" s="7" t="str">
        <v>Daniel King</v>
      </c>
      <c r="AX27" s="7" t="str">
        <v>P010</v>
      </c>
      <c r="AY27" s="7" t="str">
        <v>Keyboard</v>
      </c>
      <c r="AZ27" s="7" t="str">
        <v>Electronics</v>
      </c>
      <c r="BA27" s="7">
        <v>2</v>
      </c>
      <c r="BB27" s="7">
        <v>89.99</v>
      </c>
      <c r="BC27" s="7" t="str">
        <v>Credit Card</v>
      </c>
      <c r="BD27" s="7" t="str">
        <v>South</v>
      </c>
      <c r="BE27" s="7" t="str">
        <v>Premium</v>
      </c>
      <c r="BF27" s="7">
        <v>44564</v>
      </c>
      <c r="BG27" s="7">
        <v>179.98</v>
      </c>
    </row>
    <row r="28" spans="1:59">
      <c r="A28" s="7" t="str">
        <v>TRX0026</v>
      </c>
      <c r="B28" s="7">
        <v>45661</v>
      </c>
      <c r="C28" s="7" t="str">
        <v>CUST037</v>
      </c>
      <c r="D28" s="7" t="str">
        <v>Arthur Edwards</v>
      </c>
      <c r="E28" s="7" t="str">
        <v>P001</v>
      </c>
      <c r="F28" s="7" t="str">
        <v>Laptop</v>
      </c>
      <c r="G28" s="7" t="str">
        <v>Electronics</v>
      </c>
      <c r="H28" s="7">
        <v>1</v>
      </c>
      <c r="I28" s="7">
        <v>899.99</v>
      </c>
      <c r="J28" s="7" t="str">
        <v>PayPal</v>
      </c>
      <c r="K28" s="7" t="str">
        <v>North</v>
      </c>
      <c r="L28" s="7" t="str">
        <v>Standard</v>
      </c>
      <c r="M28" s="7">
        <v>44752</v>
      </c>
      <c r="N28" s="7">
        <v>899.99</v>
      </c>
      <c r="P28" s="7" t="str">
        <v>TRX0238</v>
      </c>
      <c r="Q28" s="7">
        <v>45668</v>
      </c>
      <c r="R28" s="7" t="str">
        <v>CUST038</v>
      </c>
      <c r="S28" s="7" t="str">
        <v>Michelle Rogers</v>
      </c>
      <c r="T28" s="7" t="str">
        <v>P002</v>
      </c>
      <c r="U28" s="7" t="str">
        <v>Smartphone</v>
      </c>
      <c r="V28" s="7" t="str">
        <v>Electronics</v>
      </c>
      <c r="W28" s="7">
        <v>3</v>
      </c>
      <c r="X28" s="7">
        <v>699.99</v>
      </c>
      <c r="Y28" s="7" t="str">
        <v>Cash</v>
      </c>
      <c r="Z28" s="7" t="str">
        <v>North</v>
      </c>
      <c r="AA28" s="7" t="str">
        <v>Premium</v>
      </c>
      <c r="AB28" s="7">
        <v>44602</v>
      </c>
      <c r="AC28" s="7">
        <v>2099.9699999999998</v>
      </c>
      <c r="AE28" s="7" t="str">
        <v>TRX0162</v>
      </c>
      <c r="AF28" s="7">
        <v>45496</v>
      </c>
      <c r="AG28" s="7" t="str">
        <v>CUST040</v>
      </c>
      <c r="AH28" s="7" t="str">
        <v>Sharon Butler</v>
      </c>
      <c r="AI28" s="7" t="str">
        <v>P001</v>
      </c>
      <c r="AJ28" s="7" t="str">
        <v>Laptop</v>
      </c>
      <c r="AK28" s="7" t="str">
        <v>Electronics</v>
      </c>
      <c r="AL28" s="7">
        <v>1</v>
      </c>
      <c r="AM28" s="7">
        <v>899.99</v>
      </c>
      <c r="AN28" s="7" t="str">
        <v>Cash</v>
      </c>
      <c r="AO28" s="7" t="str">
        <v>Central</v>
      </c>
      <c r="AP28" s="7" t="str">
        <v>Standard</v>
      </c>
      <c r="AQ28" s="7">
        <v>45179</v>
      </c>
      <c r="AR28" s="7">
        <v>899.99</v>
      </c>
      <c r="AT28" s="7" t="str">
        <v>TRX0125</v>
      </c>
      <c r="AU28" s="7">
        <v>45666</v>
      </c>
      <c r="AV28" s="7" t="str">
        <v>CUST026</v>
      </c>
      <c r="AW28" s="7" t="str">
        <v>Karen Hill</v>
      </c>
      <c r="AX28" s="7" t="str">
        <v>P002</v>
      </c>
      <c r="AY28" s="7" t="str">
        <v>Smartphone</v>
      </c>
      <c r="AZ28" s="7" t="str">
        <v>Electronics</v>
      </c>
      <c r="BA28" s="7">
        <v>3</v>
      </c>
      <c r="BB28" s="7">
        <v>699.99</v>
      </c>
      <c r="BC28" s="7" t="str">
        <v>Credit Card</v>
      </c>
      <c r="BD28" s="7" t="str">
        <v>Central</v>
      </c>
      <c r="BE28" s="7" t="str">
        <v>Premium</v>
      </c>
      <c r="BF28" s="7">
        <v>45105</v>
      </c>
      <c r="BG28" s="7">
        <v>2099.9699999999998</v>
      </c>
    </row>
    <row r="29" spans="1:59">
      <c r="A29" s="7" t="str">
        <v>TRX0238</v>
      </c>
      <c r="B29" s="7">
        <v>45668</v>
      </c>
      <c r="C29" s="7" t="str">
        <v>CUST038</v>
      </c>
      <c r="D29" s="7" t="str">
        <v>Michelle Rogers</v>
      </c>
      <c r="E29" s="7" t="str">
        <v>P002</v>
      </c>
      <c r="F29" s="7" t="str">
        <v>Smartphone</v>
      </c>
      <c r="G29" s="7" t="str">
        <v>Electronics</v>
      </c>
      <c r="H29" s="7">
        <v>3</v>
      </c>
      <c r="I29" s="7">
        <v>699.99</v>
      </c>
      <c r="J29" s="7" t="str">
        <v>Cash</v>
      </c>
      <c r="K29" s="7" t="str">
        <v>North</v>
      </c>
      <c r="L29" s="7" t="str">
        <v>Premium</v>
      </c>
      <c r="M29" s="7">
        <v>44602</v>
      </c>
      <c r="N29" s="7">
        <v>2099.9699999999998</v>
      </c>
      <c r="P29" s="7" t="str">
        <v>TRX0030</v>
      </c>
      <c r="Q29" s="7">
        <v>45686</v>
      </c>
      <c r="R29" s="7" t="str">
        <v>CUST011</v>
      </c>
      <c r="S29" s="7" t="str">
        <v>William White</v>
      </c>
      <c r="T29" s="7" t="str">
        <v>P001</v>
      </c>
      <c r="U29" s="7" t="str">
        <v>Laptop</v>
      </c>
      <c r="V29" s="7" t="str">
        <v>Electronics</v>
      </c>
      <c r="W29" s="7">
        <v>4</v>
      </c>
      <c r="X29" s="7">
        <v>899.99</v>
      </c>
      <c r="Y29" s="7" t="str">
        <v>PayPal</v>
      </c>
      <c r="Z29" s="7" t="str">
        <v>Central</v>
      </c>
      <c r="AA29" s="7" t="str">
        <v>Basic</v>
      </c>
      <c r="AB29" s="7">
        <v>44734</v>
      </c>
      <c r="AC29" s="7">
        <v>3599.96</v>
      </c>
      <c r="AE29" s="7" t="str">
        <v>TRX0006</v>
      </c>
      <c r="AF29" s="7">
        <v>45498</v>
      </c>
      <c r="AG29" s="7" t="str">
        <v>CUST007</v>
      </c>
      <c r="AH29" s="7" t="str">
        <v>David Martinez</v>
      </c>
      <c r="AI29" s="7" t="str">
        <v>P005</v>
      </c>
      <c r="AJ29" s="7" t="str">
        <v>Blender</v>
      </c>
      <c r="AK29" s="7" t="str">
        <v>Appliances</v>
      </c>
      <c r="AL29" s="7">
        <v>2</v>
      </c>
      <c r="AM29" s="7">
        <v>59.99</v>
      </c>
      <c r="AN29" s="7" t="str">
        <v>Cash</v>
      </c>
      <c r="AO29" s="7" t="str">
        <v>North</v>
      </c>
      <c r="AP29" s="7" t="str">
        <v>Standard</v>
      </c>
      <c r="AQ29" s="7">
        <v>45152</v>
      </c>
      <c r="AR29" s="7">
        <v>119.98</v>
      </c>
      <c r="AT29" s="7" t="str">
        <v>TRX0087</v>
      </c>
      <c r="AU29" s="7">
        <v>45671</v>
      </c>
      <c r="AV29" s="7" t="str">
        <v>CUST028</v>
      </c>
      <c r="AW29" s="7" t="str">
        <v>Betty Campbell</v>
      </c>
      <c r="AX29" s="7" t="str">
        <v>P009</v>
      </c>
      <c r="AY29" s="7" t="str">
        <v>Monitor</v>
      </c>
      <c r="AZ29" s="7" t="str">
        <v>Electronics</v>
      </c>
      <c r="BA29" s="7">
        <v>4</v>
      </c>
      <c r="BB29" s="7">
        <v>249.99</v>
      </c>
      <c r="BC29" s="7" t="str">
        <v>Credit Card</v>
      </c>
      <c r="BD29" s="7" t="str">
        <v>North</v>
      </c>
      <c r="BE29" s="7" t="str">
        <v>Premium</v>
      </c>
      <c r="BF29" s="7">
        <v>44460</v>
      </c>
      <c r="BG29" s="7">
        <v>999.96</v>
      </c>
    </row>
    <row r="30" spans="1:59">
      <c r="A30" s="7" t="str">
        <v>TRX0087</v>
      </c>
      <c r="B30" s="7">
        <v>45671</v>
      </c>
      <c r="C30" s="7" t="str">
        <v>CUST028</v>
      </c>
      <c r="D30" s="7" t="str">
        <v>Betty Campbell</v>
      </c>
      <c r="E30" s="7" t="str">
        <v>P009</v>
      </c>
      <c r="F30" s="7" t="str">
        <v>Monitor</v>
      </c>
      <c r="G30" s="7" t="str">
        <v>Electronics</v>
      </c>
      <c r="H30" s="7">
        <v>4</v>
      </c>
      <c r="I30" s="7">
        <v>249.99</v>
      </c>
      <c r="J30" s="7" t="str">
        <v>Credit Card</v>
      </c>
      <c r="K30" s="7" t="str">
        <v>North</v>
      </c>
      <c r="L30" s="7" t="str">
        <v>Premium</v>
      </c>
      <c r="M30" s="7">
        <v>44460</v>
      </c>
      <c r="N30" s="7">
        <v>999.96</v>
      </c>
      <c r="P30" s="7" t="str">
        <v>TRX0010</v>
      </c>
      <c r="Q30" s="7">
        <v>45688</v>
      </c>
      <c r="R30" s="7" t="str">
        <v>CUST026</v>
      </c>
      <c r="S30" s="7" t="str">
        <v>Karen Hill</v>
      </c>
      <c r="T30" s="7" t="str">
        <v>P002</v>
      </c>
      <c r="U30" s="7" t="str">
        <v>Smartphone</v>
      </c>
      <c r="V30" s="7" t="str">
        <v>Electronics</v>
      </c>
      <c r="W30" s="7">
        <v>4</v>
      </c>
      <c r="X30" s="7">
        <v>699.99</v>
      </c>
      <c r="Y30" s="7" t="str">
        <v>Debit Card</v>
      </c>
      <c r="Z30" s="7" t="str">
        <v>West</v>
      </c>
      <c r="AA30" s="7" t="str">
        <v>Premium</v>
      </c>
      <c r="AB30" s="7">
        <v>44692</v>
      </c>
      <c r="AC30" s="7">
        <v>2799.96</v>
      </c>
      <c r="AE30" s="7" t="str">
        <v>TRX0080</v>
      </c>
      <c r="AF30" s="7">
        <v>45500</v>
      </c>
      <c r="AG30" s="7" t="str">
        <v>CUST018</v>
      </c>
      <c r="AH30" s="7" t="str">
        <v>Barbara Young</v>
      </c>
      <c r="AI30" s="7" t="str">
        <v>P009</v>
      </c>
      <c r="AJ30" s="7" t="str">
        <v>Monitor</v>
      </c>
      <c r="AK30" s="7" t="str">
        <v>Electronics</v>
      </c>
      <c r="AL30" s="7">
        <v>2</v>
      </c>
      <c r="AM30" s="7">
        <v>249.99</v>
      </c>
      <c r="AN30" s="7" t="str">
        <v>Cash</v>
      </c>
      <c r="AO30" s="7" t="str">
        <v>North</v>
      </c>
      <c r="AP30" s="7" t="str">
        <v>Premium</v>
      </c>
      <c r="AQ30" s="7">
        <v>45164</v>
      </c>
      <c r="AR30" s="7">
        <v>499.98</v>
      </c>
      <c r="AT30" s="7" t="str">
        <v>TRX0233</v>
      </c>
      <c r="AU30" s="7">
        <v>45723</v>
      </c>
      <c r="AV30" s="7" t="str">
        <v>CUST023</v>
      </c>
      <c r="AW30" s="7" t="str">
        <v>Paul Baker</v>
      </c>
      <c r="AX30" s="7" t="str">
        <v>P010</v>
      </c>
      <c r="AY30" s="7" t="str">
        <v>Keyboard</v>
      </c>
      <c r="AZ30" s="7" t="str">
        <v>Electronics</v>
      </c>
      <c r="BA30" s="7">
        <v>2</v>
      </c>
      <c r="BB30" s="7">
        <v>89.99</v>
      </c>
      <c r="BC30" s="7" t="str">
        <v>Credit Card</v>
      </c>
      <c r="BD30" s="7" t="str">
        <v>West</v>
      </c>
      <c r="BE30" s="7" t="str">
        <v>Premium</v>
      </c>
      <c r="BF30" s="7">
        <v>45295</v>
      </c>
      <c r="BG30" s="7">
        <v>179.98</v>
      </c>
    </row>
    <row r="31" spans="1:59">
      <c r="A31" s="7" t="str">
        <v>TRX0107</v>
      </c>
      <c r="B31" s="7">
        <v>45671</v>
      </c>
      <c r="C31" s="7" t="str">
        <v>CUST030</v>
      </c>
      <c r="D31" s="7" t="str">
        <v>Helen Roberts</v>
      </c>
      <c r="E31" s="7" t="str">
        <v>P003</v>
      </c>
      <c r="F31" s="7" t="str">
        <v>Headphones</v>
      </c>
      <c r="G31" s="7" t="str">
        <v>Electronics</v>
      </c>
      <c r="H31" s="7">
        <v>2</v>
      </c>
      <c r="I31" s="7">
        <v>149.99</v>
      </c>
      <c r="J31" s="7" t="str">
        <v>Cash</v>
      </c>
      <c r="K31" s="7" t="str">
        <v>North</v>
      </c>
      <c r="L31" s="7" t="str">
        <v>Standard</v>
      </c>
      <c r="M31" s="7">
        <v>44913</v>
      </c>
      <c r="N31" s="7">
        <v>299.98</v>
      </c>
      <c r="P31" s="7" t="str">
        <v>TRX0179</v>
      </c>
      <c r="Q31" s="7">
        <v>45707</v>
      </c>
      <c r="R31" s="7" t="str">
        <v>CUST029</v>
      </c>
      <c r="S31" s="7" t="str">
        <v>Edward Mitchell</v>
      </c>
      <c r="T31" s="7" t="str">
        <v>P002</v>
      </c>
      <c r="U31" s="7" t="str">
        <v>Smartphone</v>
      </c>
      <c r="V31" s="7" t="str">
        <v>Electronics</v>
      </c>
      <c r="W31" s="7">
        <v>5</v>
      </c>
      <c r="X31" s="7">
        <v>699.99</v>
      </c>
      <c r="Y31" s="7" t="str">
        <v>PayPal</v>
      </c>
      <c r="Z31" s="7" t="str">
        <v>South</v>
      </c>
      <c r="AA31" s="7" t="str">
        <v>Premium</v>
      </c>
      <c r="AB31" s="7">
        <v>45352</v>
      </c>
      <c r="AC31" s="7">
        <v>3499.95</v>
      </c>
      <c r="AE31" s="7" t="str">
        <v>TRX0228</v>
      </c>
      <c r="AF31" s="7">
        <v>45500</v>
      </c>
      <c r="AG31" s="7" t="str">
        <v>CUST019</v>
      </c>
      <c r="AH31" s="7" t="str">
        <v>Daniel King</v>
      </c>
      <c r="AI31" s="7" t="str">
        <v>P007</v>
      </c>
      <c r="AJ31" s="7" t="str">
        <v>Desk</v>
      </c>
      <c r="AK31" s="7" t="str">
        <v>Furniture</v>
      </c>
      <c r="AL31" s="7">
        <v>1</v>
      </c>
      <c r="AM31" s="7">
        <v>299.99</v>
      </c>
      <c r="AN31" s="7" t="str">
        <v>Cash</v>
      </c>
      <c r="AO31" s="7" t="str">
        <v>South</v>
      </c>
      <c r="AP31" s="7" t="str">
        <v>Basic</v>
      </c>
      <c r="AQ31" s="7">
        <v>44982</v>
      </c>
      <c r="AR31" s="7">
        <v>299.99</v>
      </c>
      <c r="AT31" s="7" t="str">
        <v>TRX0019</v>
      </c>
      <c r="AU31" s="7">
        <v>45739</v>
      </c>
      <c r="AV31" s="7" t="str">
        <v>CUST023</v>
      </c>
      <c r="AW31" s="7" t="str">
        <v>Paul Baker</v>
      </c>
      <c r="AX31" s="7" t="str">
        <v>P007</v>
      </c>
      <c r="AY31" s="7" t="str">
        <v>Desk</v>
      </c>
      <c r="AZ31" s="7" t="str">
        <v>Furniture</v>
      </c>
      <c r="BA31" s="7">
        <v>3</v>
      </c>
      <c r="BB31" s="7">
        <v>299.99</v>
      </c>
      <c r="BC31" s="7" t="str">
        <v>Credit Card</v>
      </c>
      <c r="BD31" s="7" t="str">
        <v>West</v>
      </c>
      <c r="BE31" s="7" t="str">
        <v>Premium</v>
      </c>
      <c r="BF31" s="7">
        <v>45234</v>
      </c>
      <c r="BG31" s="7">
        <v>899.97</v>
      </c>
    </row>
    <row r="32" spans="1:59">
      <c r="A32" s="7" t="str">
        <v>TRX0047</v>
      </c>
      <c r="B32" s="7">
        <v>45711</v>
      </c>
      <c r="C32" s="7" t="str">
        <v>CUST042</v>
      </c>
      <c r="D32" s="7" t="str">
        <v>Ruth Brooks</v>
      </c>
      <c r="E32" s="7" t="str">
        <v>P002</v>
      </c>
      <c r="F32" s="7" t="str">
        <v>Smartphone</v>
      </c>
      <c r="G32" s="7" t="str">
        <v>Electronics</v>
      </c>
      <c r="H32" s="7">
        <v>1</v>
      </c>
      <c r="I32" s="7">
        <v>699.99</v>
      </c>
      <c r="J32" s="7" t="str">
        <v>Cash</v>
      </c>
      <c r="K32" s="7" t="str">
        <v>North</v>
      </c>
      <c r="L32" s="7" t="str">
        <v>Premium</v>
      </c>
      <c r="M32" s="7">
        <v>44583</v>
      </c>
      <c r="N32" s="7">
        <v>699.99</v>
      </c>
      <c r="P32" s="7" t="str">
        <v>TRX0214</v>
      </c>
      <c r="Q32" s="7">
        <v>45708</v>
      </c>
      <c r="R32" s="7" t="str">
        <v>CUST018</v>
      </c>
      <c r="S32" s="7" t="str">
        <v>Barbara Young</v>
      </c>
      <c r="T32" s="7" t="str">
        <v>P001</v>
      </c>
      <c r="U32" s="7" t="str">
        <v>Laptop</v>
      </c>
      <c r="V32" s="7" t="str">
        <v>Electronics</v>
      </c>
      <c r="W32" s="7">
        <v>3</v>
      </c>
      <c r="X32" s="7">
        <v>899.99</v>
      </c>
      <c r="Y32" s="7" t="str">
        <v>Cash</v>
      </c>
      <c r="Z32" s="7" t="str">
        <v>East</v>
      </c>
      <c r="AA32" s="7" t="str">
        <v>Standard</v>
      </c>
      <c r="AB32" s="7">
        <v>44613</v>
      </c>
      <c r="AC32" s="7">
        <v>2699.97</v>
      </c>
      <c r="AE32" s="7" t="str">
        <v>TRX0002</v>
      </c>
      <c r="AF32" s="7">
        <v>45501</v>
      </c>
      <c r="AG32" s="7" t="str">
        <v>CUST019</v>
      </c>
      <c r="AH32" s="7" t="str">
        <v>Daniel King</v>
      </c>
      <c r="AI32" s="7" t="str">
        <v>P007</v>
      </c>
      <c r="AJ32" s="7" t="str">
        <v>Desk</v>
      </c>
      <c r="AK32" s="7" t="str">
        <v>Furniture</v>
      </c>
      <c r="AL32" s="7">
        <v>3</v>
      </c>
      <c r="AM32" s="7">
        <v>299.99</v>
      </c>
      <c r="AN32" s="7" t="str">
        <v>Cash</v>
      </c>
      <c r="AO32" s="7" t="str">
        <v>Central</v>
      </c>
      <c r="AP32" s="7" t="str">
        <v>Basic</v>
      </c>
      <c r="AQ32" s="7">
        <v>44732</v>
      </c>
      <c r="AR32" s="7">
        <v>899.97</v>
      </c>
    </row>
    <row r="33" spans="1:44">
      <c r="A33" s="7" t="str">
        <v>TRX0038</v>
      </c>
      <c r="B33" s="7">
        <v>45726</v>
      </c>
      <c r="C33" s="7" t="str">
        <v>CUST035</v>
      </c>
      <c r="D33" s="7" t="str">
        <v>Harry Morgan</v>
      </c>
      <c r="E33" s="7" t="str">
        <v>P009</v>
      </c>
      <c r="F33" s="7" t="str">
        <v>Monitor</v>
      </c>
      <c r="G33" s="7" t="str">
        <v>Electronics</v>
      </c>
      <c r="H33" s="7">
        <v>1</v>
      </c>
      <c r="I33" s="7">
        <v>249.99</v>
      </c>
      <c r="J33" s="7" t="str">
        <v>Cash</v>
      </c>
      <c r="K33" s="7" t="str">
        <v>North</v>
      </c>
      <c r="L33" s="7" t="str">
        <v>Standard</v>
      </c>
      <c r="M33" s="7">
        <v>45117</v>
      </c>
      <c r="N33" s="7">
        <v>249.99</v>
      </c>
      <c r="P33" s="7" t="str">
        <v>TRX0226</v>
      </c>
      <c r="Q33" s="7">
        <v>45720</v>
      </c>
      <c r="R33" s="7" t="str">
        <v>CUST039</v>
      </c>
      <c r="S33" s="7" t="str">
        <v>Lawrence Reed</v>
      </c>
      <c r="T33" s="7" t="str">
        <v>P002</v>
      </c>
      <c r="U33" s="7" t="str">
        <v>Smartphone</v>
      </c>
      <c r="V33" s="7" t="str">
        <v>Electronics</v>
      </c>
      <c r="W33" s="7">
        <v>5</v>
      </c>
      <c r="X33" s="7">
        <v>699.99</v>
      </c>
      <c r="Y33" s="7" t="str">
        <v>Debit Card</v>
      </c>
      <c r="Z33" s="7" t="str">
        <v>East</v>
      </c>
      <c r="AA33" s="7" t="str">
        <v>Premium</v>
      </c>
      <c r="AB33" s="7">
        <v>45161</v>
      </c>
      <c r="AC33" s="7">
        <v>3499.95</v>
      </c>
      <c r="AE33" s="7" t="str">
        <v>TRX0247</v>
      </c>
      <c r="AF33" s="7">
        <v>45517</v>
      </c>
      <c r="AG33" s="7" t="str">
        <v>CUST046</v>
      </c>
      <c r="AH33" s="7" t="str">
        <v>Kathleen Bennett</v>
      </c>
      <c r="AI33" s="7" t="str">
        <v>P006</v>
      </c>
      <c r="AJ33" s="7" t="str">
        <v>Office Chair</v>
      </c>
      <c r="AK33" s="7" t="str">
        <v>Furniture</v>
      </c>
      <c r="AL33" s="7">
        <v>4</v>
      </c>
      <c r="AM33" s="7">
        <v>199.99</v>
      </c>
      <c r="AN33" s="7" t="str">
        <v>Cash</v>
      </c>
      <c r="AO33" s="7" t="str">
        <v>North</v>
      </c>
      <c r="AP33" s="7" t="str">
        <v>Standard</v>
      </c>
      <c r="AQ33" s="7">
        <v>44458</v>
      </c>
      <c r="AR33" s="7">
        <v>799.96</v>
      </c>
    </row>
    <row r="34" spans="1:44">
      <c r="A34" s="7" t="str">
        <v>TRX0124</v>
      </c>
      <c r="B34" s="7">
        <v>45737</v>
      </c>
      <c r="C34" s="7" t="str">
        <v>CUST040</v>
      </c>
      <c r="D34" s="7" t="str">
        <v>Sharon Butler</v>
      </c>
      <c r="E34" s="7" t="str">
        <v>P001</v>
      </c>
      <c r="F34" s="7" t="str">
        <v>Laptop</v>
      </c>
      <c r="G34" s="7" t="str">
        <v>Electronics</v>
      </c>
      <c r="H34" s="7">
        <v>3</v>
      </c>
      <c r="I34" s="7">
        <v>899.99</v>
      </c>
      <c r="J34" s="7" t="str">
        <v>Debit Card</v>
      </c>
      <c r="K34" s="7" t="str">
        <v>North</v>
      </c>
      <c r="L34" s="7" t="str">
        <v>Premium</v>
      </c>
      <c r="M34" s="7">
        <v>44876</v>
      </c>
      <c r="N34" s="7">
        <v>2699.97</v>
      </c>
      <c r="P34" s="7" t="str">
        <v>TRX0016</v>
      </c>
      <c r="Q34" s="7">
        <v>45724</v>
      </c>
      <c r="R34" s="7" t="str">
        <v>CUST035</v>
      </c>
      <c r="S34" s="7" t="str">
        <v>Harry Morgan</v>
      </c>
      <c r="T34" s="7" t="str">
        <v>P001</v>
      </c>
      <c r="U34" s="7" t="str">
        <v>Laptop</v>
      </c>
      <c r="V34" s="7" t="str">
        <v>Electronics</v>
      </c>
      <c r="W34" s="7">
        <v>5</v>
      </c>
      <c r="X34" s="7">
        <v>899.99</v>
      </c>
      <c r="Y34" s="7" t="str">
        <v>PayPal</v>
      </c>
      <c r="Z34" s="7" t="str">
        <v>East</v>
      </c>
      <c r="AA34" s="7" t="str">
        <v>Premium</v>
      </c>
      <c r="AB34" s="7">
        <v>45389</v>
      </c>
      <c r="AC34" s="7">
        <v>4499.95</v>
      </c>
      <c r="AE34" s="7" t="str">
        <v>TRX0027</v>
      </c>
      <c r="AF34" s="7">
        <v>45519</v>
      </c>
      <c r="AG34" s="7" t="str">
        <v>CUST028</v>
      </c>
      <c r="AH34" s="7" t="str">
        <v>Betty Campbell</v>
      </c>
      <c r="AI34" s="7" t="str">
        <v>P006</v>
      </c>
      <c r="AJ34" s="7" t="str">
        <v>Office Chair</v>
      </c>
      <c r="AK34" s="7" t="str">
        <v>Furniture</v>
      </c>
      <c r="AL34" s="7">
        <v>5</v>
      </c>
      <c r="AM34" s="7">
        <v>199.99</v>
      </c>
      <c r="AN34" s="7" t="str">
        <v>Cash</v>
      </c>
      <c r="AO34" s="7" t="str">
        <v>North</v>
      </c>
      <c r="AP34" s="7" t="str">
        <v>Premium</v>
      </c>
      <c r="AQ34" s="7">
        <v>44991</v>
      </c>
      <c r="AR34" s="7">
        <v>999.95</v>
      </c>
    </row>
    <row r="35" spans="1:44">
      <c r="A35" s="7" t="str">
        <v>TRX0013</v>
      </c>
      <c r="B35" s="7">
        <v>45737</v>
      </c>
      <c r="C35" s="7" t="str">
        <v>CUST024</v>
      </c>
      <c r="D35" s="7" t="str">
        <v>Dorothy Nelson</v>
      </c>
      <c r="E35" s="7" t="str">
        <v>P001</v>
      </c>
      <c r="F35" s="7" t="str">
        <v>Laptop</v>
      </c>
      <c r="G35" s="7" t="str">
        <v>Electronics</v>
      </c>
      <c r="H35" s="7">
        <v>3</v>
      </c>
      <c r="I35" s="7">
        <v>899.99</v>
      </c>
      <c r="J35" s="7" t="str">
        <v>PayPal</v>
      </c>
      <c r="K35" s="7" t="str">
        <v>North</v>
      </c>
      <c r="L35" s="7" t="str">
        <v>Basic</v>
      </c>
      <c r="M35" s="7">
        <v>44975</v>
      </c>
      <c r="N35" s="7">
        <v>2699.97</v>
      </c>
      <c r="P35" s="7" t="str">
        <v>TRX0124</v>
      </c>
      <c r="Q35" s="7">
        <v>45737</v>
      </c>
      <c r="R35" s="7" t="str">
        <v>CUST040</v>
      </c>
      <c r="S35" s="7" t="str">
        <v>Sharon Butler</v>
      </c>
      <c r="T35" s="7" t="str">
        <v>P001</v>
      </c>
      <c r="U35" s="7" t="str">
        <v>Laptop</v>
      </c>
      <c r="V35" s="7" t="str">
        <v>Electronics</v>
      </c>
      <c r="W35" s="7">
        <v>3</v>
      </c>
      <c r="X35" s="7">
        <v>899.99</v>
      </c>
      <c r="Y35" s="7" t="str">
        <v>Debit Card</v>
      </c>
      <c r="Z35" s="7" t="str">
        <v>North</v>
      </c>
      <c r="AA35" s="7" t="str">
        <v>Premium</v>
      </c>
      <c r="AB35" s="7">
        <v>44876</v>
      </c>
      <c r="AC35" s="7">
        <v>2699.97</v>
      </c>
      <c r="AE35" s="7" t="str">
        <v>TRX0140</v>
      </c>
      <c r="AF35" s="7">
        <v>45522</v>
      </c>
      <c r="AG35" s="7" t="str">
        <v>CUST025</v>
      </c>
      <c r="AH35" s="7" t="str">
        <v>Mark Carter</v>
      </c>
      <c r="AI35" s="7" t="str">
        <v>P010</v>
      </c>
      <c r="AJ35" s="7" t="str">
        <v>Keyboard</v>
      </c>
      <c r="AK35" s="7" t="str">
        <v>Electronics</v>
      </c>
      <c r="AL35" s="7">
        <v>2</v>
      </c>
      <c r="AM35" s="7">
        <v>89.99</v>
      </c>
      <c r="AN35" s="7" t="str">
        <v>Cash</v>
      </c>
      <c r="AO35" s="7" t="str">
        <v>East</v>
      </c>
      <c r="AP35" s="7" t="str">
        <v>Premium</v>
      </c>
      <c r="AQ35" s="7">
        <v>44972</v>
      </c>
      <c r="AR35" s="7">
        <v>179.98</v>
      </c>
    </row>
    <row r="36" spans="1:44">
      <c r="A36" s="7" t="str">
        <v>TRX0068</v>
      </c>
      <c r="B36" s="7">
        <v>45748</v>
      </c>
      <c r="C36" s="7" t="str">
        <v>CUST044</v>
      </c>
      <c r="D36" s="7" t="str">
        <v>Cynthia Price</v>
      </c>
      <c r="E36" s="7" t="str">
        <v>P002</v>
      </c>
      <c r="F36" s="7" t="str">
        <v>Smartphone</v>
      </c>
      <c r="G36" s="7" t="str">
        <v>Electronics</v>
      </c>
      <c r="H36" s="7">
        <v>2</v>
      </c>
      <c r="I36" s="7">
        <v>699.99</v>
      </c>
      <c r="J36" s="7" t="str">
        <v>PayPal</v>
      </c>
      <c r="K36" s="7" t="str">
        <v>North</v>
      </c>
      <c r="L36" s="7" t="str">
        <v>Standard</v>
      </c>
      <c r="M36" s="7">
        <v>44618</v>
      </c>
      <c r="N36" s="7">
        <v>1399.98</v>
      </c>
      <c r="P36" s="7" t="str">
        <v>TRX0013</v>
      </c>
      <c r="Q36" s="7">
        <v>45737</v>
      </c>
      <c r="R36" s="7" t="str">
        <v>CUST024</v>
      </c>
      <c r="S36" s="7" t="str">
        <v>Dorothy Nelson</v>
      </c>
      <c r="T36" s="7" t="str">
        <v>P001</v>
      </c>
      <c r="U36" s="7" t="str">
        <v>Laptop</v>
      </c>
      <c r="V36" s="7" t="str">
        <v>Electronics</v>
      </c>
      <c r="W36" s="7">
        <v>3</v>
      </c>
      <c r="X36" s="7">
        <v>899.99</v>
      </c>
      <c r="Y36" s="7" t="str">
        <v>PayPal</v>
      </c>
      <c r="Z36" s="7" t="str">
        <v>North</v>
      </c>
      <c r="AA36" s="7" t="str">
        <v>Basic</v>
      </c>
      <c r="AB36" s="7">
        <v>44975</v>
      </c>
      <c r="AC36" s="7">
        <v>2699.97</v>
      </c>
      <c r="AE36" s="7" t="str">
        <v>TRX0001</v>
      </c>
      <c r="AF36" s="7">
        <v>45528</v>
      </c>
      <c r="AG36" s="7" t="str">
        <v>CUST039</v>
      </c>
      <c r="AH36" s="7" t="str">
        <v>Lawrence Reed</v>
      </c>
      <c r="AI36" s="7" t="str">
        <v>P004</v>
      </c>
      <c r="AJ36" s="7" t="str">
        <v>Coffee Maker</v>
      </c>
      <c r="AK36" s="7" t="str">
        <v>Appliances</v>
      </c>
      <c r="AL36" s="7">
        <v>3</v>
      </c>
      <c r="AM36" s="7">
        <v>79.989999999999995</v>
      </c>
      <c r="AN36" s="7" t="str">
        <v>Cash</v>
      </c>
      <c r="AO36" s="7" t="str">
        <v>Central</v>
      </c>
      <c r="AP36" s="7" t="str">
        <v>Premium</v>
      </c>
      <c r="AQ36" s="7">
        <v>44779</v>
      </c>
      <c r="AR36" s="7">
        <v>239.97</v>
      </c>
    </row>
    <row r="37" spans="1:44">
      <c r="A37" s="7" t="str">
        <v>TRX0120</v>
      </c>
      <c r="B37" s="7">
        <v>45758</v>
      </c>
      <c r="C37" s="7" t="str">
        <v>CUST045</v>
      </c>
      <c r="D37" s="7" t="str">
        <v>Douglas Watson</v>
      </c>
      <c r="E37" s="7" t="str">
        <v>P002</v>
      </c>
      <c r="F37" s="7" t="str">
        <v>Smartphone</v>
      </c>
      <c r="G37" s="7" t="str">
        <v>Electronics</v>
      </c>
      <c r="H37" s="7">
        <v>3</v>
      </c>
      <c r="I37" s="7">
        <v>699.99</v>
      </c>
      <c r="J37" s="7" t="str">
        <v>PayPal</v>
      </c>
      <c r="K37" s="7" t="str">
        <v>North</v>
      </c>
      <c r="L37" s="7" t="str">
        <v>Basic</v>
      </c>
      <c r="M37" s="7">
        <v>44909</v>
      </c>
      <c r="N37" s="7">
        <v>2099.9699999999998</v>
      </c>
      <c r="P37" s="7" t="str">
        <v>TRX0144</v>
      </c>
      <c r="Q37" s="7">
        <v>45749</v>
      </c>
      <c r="R37" s="7" t="str">
        <v>CUST029</v>
      </c>
      <c r="S37" s="7" t="str">
        <v>Edward Mitchell</v>
      </c>
      <c r="T37" s="7" t="str">
        <v>P001</v>
      </c>
      <c r="U37" s="7" t="str">
        <v>Laptop</v>
      </c>
      <c r="V37" s="7" t="str">
        <v>Electronics</v>
      </c>
      <c r="W37" s="7">
        <v>3</v>
      </c>
      <c r="X37" s="7">
        <v>899.99</v>
      </c>
      <c r="Y37" s="7" t="str">
        <v>Cash</v>
      </c>
      <c r="Z37" s="7" t="str">
        <v>Central</v>
      </c>
      <c r="AA37" s="7" t="str">
        <v>Standard</v>
      </c>
      <c r="AB37" s="7">
        <v>44953</v>
      </c>
      <c r="AC37" s="7">
        <v>2699.97</v>
      </c>
      <c r="AE37" s="7" t="str">
        <v>TRX0037</v>
      </c>
      <c r="AF37" s="7">
        <v>45528</v>
      </c>
      <c r="AG37" s="7" t="str">
        <v>CUST035</v>
      </c>
      <c r="AH37" s="7" t="str">
        <v>Harry Morgan</v>
      </c>
      <c r="AI37" s="7" t="str">
        <v>P009</v>
      </c>
      <c r="AJ37" s="7" t="str">
        <v>Monitor</v>
      </c>
      <c r="AK37" s="7" t="str">
        <v>Electronics</v>
      </c>
      <c r="AL37" s="7">
        <v>2</v>
      </c>
      <c r="AM37" s="7">
        <v>249.99</v>
      </c>
      <c r="AN37" s="7" t="str">
        <v>Cash</v>
      </c>
      <c r="AO37" s="7" t="str">
        <v>South</v>
      </c>
      <c r="AP37" s="7" t="str">
        <v>Standard</v>
      </c>
      <c r="AQ37" s="7">
        <v>44572</v>
      </c>
      <c r="AR37" s="7">
        <v>499.98</v>
      </c>
    </row>
    <row r="38" spans="1:44">
      <c r="A38" s="7" t="str">
        <v>TRX0064</v>
      </c>
      <c r="B38" s="7">
        <v>45758</v>
      </c>
      <c r="C38" s="7" t="str">
        <v>CUST031</v>
      </c>
      <c r="D38" s="7" t="str">
        <v>Steven Turner</v>
      </c>
      <c r="E38" s="7" t="str">
        <v>P010</v>
      </c>
      <c r="F38" s="7" t="str">
        <v>Keyboard</v>
      </c>
      <c r="G38" s="7" t="str">
        <v>Electronics</v>
      </c>
      <c r="H38" s="7">
        <v>3</v>
      </c>
      <c r="I38" s="7">
        <v>89.99</v>
      </c>
      <c r="J38" s="7" t="str">
        <v>Debit Card</v>
      </c>
      <c r="K38" s="7" t="str">
        <v>North</v>
      </c>
      <c r="L38" s="7" t="str">
        <v>Premium</v>
      </c>
      <c r="M38" s="7">
        <v>44878</v>
      </c>
      <c r="N38" s="7">
        <v>269.97000000000003</v>
      </c>
      <c r="P38" s="7" t="str">
        <v>TRX0120</v>
      </c>
      <c r="Q38" s="7">
        <v>45758</v>
      </c>
      <c r="R38" s="7" t="str">
        <v>CUST045</v>
      </c>
      <c r="S38" s="7" t="str">
        <v>Douglas Watson</v>
      </c>
      <c r="T38" s="7" t="str">
        <v>P002</v>
      </c>
      <c r="U38" s="7" t="str">
        <v>Smartphone</v>
      </c>
      <c r="V38" s="7" t="str">
        <v>Electronics</v>
      </c>
      <c r="W38" s="7">
        <v>3</v>
      </c>
      <c r="X38" s="7">
        <v>699.99</v>
      </c>
      <c r="Y38" s="7" t="str">
        <v>PayPal</v>
      </c>
      <c r="Z38" s="7" t="str">
        <v>North</v>
      </c>
      <c r="AA38" s="7" t="str">
        <v>Basic</v>
      </c>
      <c r="AB38" s="7">
        <v>44909</v>
      </c>
      <c r="AC38" s="7">
        <v>2099.9699999999998</v>
      </c>
      <c r="AE38" s="7" t="str">
        <v>TRX0058</v>
      </c>
      <c r="AF38" s="7">
        <v>45532</v>
      </c>
      <c r="AG38" s="7" t="str">
        <v>CUST047</v>
      </c>
      <c r="AH38" s="7" t="str">
        <v>Gerald Murphy</v>
      </c>
      <c r="AI38" s="7" t="str">
        <v>P002</v>
      </c>
      <c r="AJ38" s="7" t="str">
        <v>Smartphone</v>
      </c>
      <c r="AK38" s="7" t="str">
        <v>Electronics</v>
      </c>
      <c r="AL38" s="7">
        <v>1</v>
      </c>
      <c r="AM38" s="7">
        <v>699.99</v>
      </c>
      <c r="AN38" s="7" t="str">
        <v>Cash</v>
      </c>
      <c r="AO38" s="7" t="str">
        <v>Central</v>
      </c>
      <c r="AP38" s="7" t="str">
        <v>Premium</v>
      </c>
      <c r="AQ38" s="7">
        <v>44497</v>
      </c>
      <c r="AR38" s="7">
        <v>699.99</v>
      </c>
    </row>
    <row r="39" spans="1:44"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E39" s="7" t="str">
        <v>TRX0170</v>
      </c>
      <c r="AF39" s="7">
        <v>45532</v>
      </c>
      <c r="AG39" s="7" t="str">
        <v>CUST034</v>
      </c>
      <c r="AH39" s="7" t="str">
        <v>Carol Evans</v>
      </c>
      <c r="AI39" s="7" t="str">
        <v>P003</v>
      </c>
      <c r="AJ39" s="7" t="str">
        <v>Headphones</v>
      </c>
      <c r="AK39" s="7" t="str">
        <v>Electronics</v>
      </c>
      <c r="AL39" s="7">
        <v>3</v>
      </c>
      <c r="AM39" s="7">
        <v>149.99</v>
      </c>
      <c r="AN39" s="7" t="str">
        <v>Cash</v>
      </c>
      <c r="AO39" s="7" t="str">
        <v>West</v>
      </c>
      <c r="AP39" s="7" t="str">
        <v>Premium</v>
      </c>
      <c r="AQ39" s="7">
        <v>45212</v>
      </c>
      <c r="AR39" s="7">
        <v>449.97</v>
      </c>
    </row>
    <row r="40" spans="1:44">
      <c r="AE40" s="7" t="str">
        <v>TRX0112</v>
      </c>
      <c r="AF40" s="7">
        <v>45544</v>
      </c>
      <c r="AG40" s="7" t="str">
        <v>CUST008</v>
      </c>
      <c r="AH40" s="7" t="str">
        <v>Jennifer Taylor</v>
      </c>
      <c r="AI40" s="7" t="str">
        <v>P004</v>
      </c>
      <c r="AJ40" s="7" t="str">
        <v>Coffee Maker</v>
      </c>
      <c r="AK40" s="7" t="str">
        <v>Appliances</v>
      </c>
      <c r="AL40" s="7">
        <v>4</v>
      </c>
      <c r="AM40" s="7">
        <v>79.989999999999995</v>
      </c>
      <c r="AN40" s="7" t="str">
        <v>Cash</v>
      </c>
      <c r="AO40" s="7" t="str">
        <v>North</v>
      </c>
      <c r="AP40" s="7" t="str">
        <v>Basic</v>
      </c>
      <c r="AQ40" s="7">
        <v>44530</v>
      </c>
      <c r="AR40" s="7">
        <v>319.95999999999998</v>
      </c>
    </row>
    <row r="41" spans="1:44">
      <c r="AE41" s="7" t="str">
        <v>TRX0161</v>
      </c>
      <c r="AF41" s="7">
        <v>45545</v>
      </c>
      <c r="AG41" s="7" t="str">
        <v>CUST017</v>
      </c>
      <c r="AH41" s="7" t="str">
        <v>Charles Allen</v>
      </c>
      <c r="AI41" s="7" t="str">
        <v>P004</v>
      </c>
      <c r="AJ41" s="7" t="str">
        <v>Coffee Maker</v>
      </c>
      <c r="AK41" s="7" t="str">
        <v>Appliances</v>
      </c>
      <c r="AL41" s="7">
        <v>1</v>
      </c>
      <c r="AM41" s="7">
        <v>79.989999999999995</v>
      </c>
      <c r="AN41" s="7" t="str">
        <v>Cash</v>
      </c>
      <c r="AO41" s="7" t="str">
        <v>West</v>
      </c>
      <c r="AP41" s="7" t="str">
        <v>Basic</v>
      </c>
      <c r="AQ41" s="7">
        <v>44693</v>
      </c>
      <c r="AR41" s="7">
        <v>79.989999999999995</v>
      </c>
    </row>
    <row r="42" spans="1:44">
      <c r="AE42" s="7" t="str">
        <v>TRX0005</v>
      </c>
      <c r="AF42" s="7">
        <v>45550</v>
      </c>
      <c r="AG42" s="7" t="str">
        <v>CUST042</v>
      </c>
      <c r="AH42" s="7" t="str">
        <v>Ruth Brooks</v>
      </c>
      <c r="AI42" s="7" t="str">
        <v>P003</v>
      </c>
      <c r="AJ42" s="7" t="str">
        <v>Headphones</v>
      </c>
      <c r="AK42" s="7" t="str">
        <v>Electronics</v>
      </c>
      <c r="AL42" s="7">
        <v>4</v>
      </c>
      <c r="AM42" s="7">
        <v>149.99</v>
      </c>
      <c r="AN42" s="7" t="str">
        <v>Cash</v>
      </c>
      <c r="AO42" s="7" t="str">
        <v>North</v>
      </c>
      <c r="AP42" s="7" t="str">
        <v>Basic</v>
      </c>
      <c r="AQ42" s="7">
        <v>44909</v>
      </c>
      <c r="AR42" s="7">
        <v>599.96</v>
      </c>
    </row>
    <row r="43" spans="1:44">
      <c r="AE43" s="7" t="str">
        <v>TRX0174</v>
      </c>
      <c r="AF43" s="7">
        <v>45566</v>
      </c>
      <c r="AG43" s="7" t="str">
        <v>CUST003</v>
      </c>
      <c r="AH43" s="7" t="str">
        <v>Michael Brown</v>
      </c>
      <c r="AI43" s="7" t="str">
        <v>P007</v>
      </c>
      <c r="AJ43" s="7" t="str">
        <v>Desk</v>
      </c>
      <c r="AK43" s="7" t="str">
        <v>Furniture</v>
      </c>
      <c r="AL43" s="7">
        <v>4</v>
      </c>
      <c r="AM43" s="7">
        <v>299.99</v>
      </c>
      <c r="AN43" s="7" t="str">
        <v>Cash</v>
      </c>
      <c r="AO43" s="7" t="str">
        <v>Central</v>
      </c>
      <c r="AP43" s="7" t="str">
        <v>Premium</v>
      </c>
      <c r="AQ43" s="7">
        <v>44460</v>
      </c>
      <c r="AR43" s="7">
        <v>1199.96</v>
      </c>
    </row>
    <row r="44" spans="1:44">
      <c r="AE44" s="7" t="str">
        <v>TRX0173</v>
      </c>
      <c r="AF44" s="7">
        <v>45581</v>
      </c>
      <c r="AG44" s="7" t="str">
        <v>CUST018</v>
      </c>
      <c r="AH44" s="7" t="str">
        <v>Barbara Young</v>
      </c>
      <c r="AI44" s="7" t="str">
        <v>P002</v>
      </c>
      <c r="AJ44" s="7" t="str">
        <v>Smartphone</v>
      </c>
      <c r="AK44" s="7" t="str">
        <v>Electronics</v>
      </c>
      <c r="AL44" s="7">
        <v>5</v>
      </c>
      <c r="AM44" s="7">
        <v>699.99</v>
      </c>
      <c r="AN44" s="7" t="str">
        <v>Cash</v>
      </c>
      <c r="AO44" s="7" t="str">
        <v>East</v>
      </c>
      <c r="AP44" s="7" t="str">
        <v>Standard</v>
      </c>
      <c r="AQ44" s="7">
        <v>45008</v>
      </c>
      <c r="AR44" s="7">
        <v>3499.95</v>
      </c>
    </row>
    <row r="45" spans="1:44">
      <c r="AE45" s="7" t="str">
        <v>TRX0009</v>
      </c>
      <c r="AF45" s="7">
        <v>45588</v>
      </c>
      <c r="AG45" s="7" t="str">
        <v>CUST004</v>
      </c>
      <c r="AH45" s="7" t="str">
        <v>Sarah Davis</v>
      </c>
      <c r="AI45" s="7" t="str">
        <v>P002</v>
      </c>
      <c r="AJ45" s="7" t="str">
        <v>Smartphone</v>
      </c>
      <c r="AK45" s="7" t="str">
        <v>Electronics</v>
      </c>
      <c r="AL45" s="7">
        <v>2</v>
      </c>
      <c r="AM45" s="7">
        <v>699.99</v>
      </c>
      <c r="AN45" s="7" t="str">
        <v>Cash</v>
      </c>
      <c r="AO45" s="7" t="str">
        <v>Central</v>
      </c>
      <c r="AP45" s="7" t="str">
        <v>Basic</v>
      </c>
      <c r="AQ45" s="7">
        <v>44992</v>
      </c>
      <c r="AR45" s="7">
        <v>1399.98</v>
      </c>
    </row>
    <row r="46" spans="1:44">
      <c r="AE46" s="7" t="str">
        <v>TRX0167</v>
      </c>
      <c r="AF46" s="7">
        <v>45589</v>
      </c>
      <c r="AG46" s="7" t="str">
        <v>CUST028</v>
      </c>
      <c r="AH46" s="7" t="str">
        <v>Betty Campbell</v>
      </c>
      <c r="AI46" s="7" t="str">
        <v>P002</v>
      </c>
      <c r="AJ46" s="7" t="str">
        <v>Smartphone</v>
      </c>
      <c r="AK46" s="7" t="str">
        <v>Electronics</v>
      </c>
      <c r="AL46" s="7">
        <v>5</v>
      </c>
      <c r="AM46" s="7">
        <v>699.99</v>
      </c>
      <c r="AN46" s="7" t="str">
        <v>Cash</v>
      </c>
      <c r="AO46" s="7" t="str">
        <v>North</v>
      </c>
      <c r="AP46" s="7" t="str">
        <v>Premium</v>
      </c>
      <c r="AQ46" s="7">
        <v>44635</v>
      </c>
      <c r="AR46" s="7">
        <v>3499.95</v>
      </c>
    </row>
    <row r="47" spans="1:44">
      <c r="AE47" s="7" t="str">
        <v>TRX0035</v>
      </c>
      <c r="AF47" s="7">
        <v>45607</v>
      </c>
      <c r="AG47" s="7" t="str">
        <v>CUST041</v>
      </c>
      <c r="AH47" s="7" t="str">
        <v>Peter Richardson</v>
      </c>
      <c r="AI47" s="7" t="str">
        <v>P003</v>
      </c>
      <c r="AJ47" s="7" t="str">
        <v>Headphones</v>
      </c>
      <c r="AK47" s="7" t="str">
        <v>Electronics</v>
      </c>
      <c r="AL47" s="7">
        <v>3</v>
      </c>
      <c r="AM47" s="7">
        <v>149.99</v>
      </c>
      <c r="AN47" s="7" t="str">
        <v>Cash</v>
      </c>
      <c r="AO47" s="7" t="str">
        <v>North</v>
      </c>
      <c r="AP47" s="7" t="str">
        <v>Basic</v>
      </c>
      <c r="AQ47" s="7">
        <v>44769</v>
      </c>
      <c r="AR47" s="7">
        <v>449.97</v>
      </c>
    </row>
    <row r="48" spans="1:44">
      <c r="AE48" s="7" t="str">
        <v>TRX0073</v>
      </c>
      <c r="AF48" s="7">
        <v>45613</v>
      </c>
      <c r="AG48" s="7" t="str">
        <v>CUST032</v>
      </c>
      <c r="AH48" s="7" t="str">
        <v>Sandra Phillips</v>
      </c>
      <c r="AI48" s="7" t="str">
        <v>P008</v>
      </c>
      <c r="AJ48" s="7" t="str">
        <v>Bookshelf</v>
      </c>
      <c r="AK48" s="7" t="str">
        <v>Furniture</v>
      </c>
      <c r="AL48" s="7">
        <v>5</v>
      </c>
      <c r="AM48" s="7">
        <v>149.99</v>
      </c>
      <c r="AN48" s="7" t="str">
        <v>Cash</v>
      </c>
      <c r="AO48" s="7" t="str">
        <v>North</v>
      </c>
      <c r="AP48" s="7" t="str">
        <v>Basic</v>
      </c>
      <c r="AQ48" s="7">
        <v>44869</v>
      </c>
      <c r="AR48" s="7">
        <v>749.95</v>
      </c>
    </row>
    <row r="49" spans="31:44">
      <c r="AE49" s="7" t="str">
        <v>TRX0206</v>
      </c>
      <c r="AF49" s="7">
        <v>45623</v>
      </c>
      <c r="AG49" s="7" t="str">
        <v>CUST014</v>
      </c>
      <c r="AH49" s="7" t="str">
        <v>Linda Martin</v>
      </c>
      <c r="AI49" s="7" t="str">
        <v>P008</v>
      </c>
      <c r="AJ49" s="7" t="str">
        <v>Bookshelf</v>
      </c>
      <c r="AK49" s="7" t="str">
        <v>Furniture</v>
      </c>
      <c r="AL49" s="7">
        <v>2</v>
      </c>
      <c r="AM49" s="7">
        <v>149.99</v>
      </c>
      <c r="AN49" s="7" t="str">
        <v>Cash</v>
      </c>
      <c r="AO49" s="7" t="str">
        <v>South</v>
      </c>
      <c r="AP49" s="7" t="str">
        <v>Standard</v>
      </c>
      <c r="AQ49" s="7">
        <v>45101</v>
      </c>
      <c r="AR49" s="7">
        <v>299.98</v>
      </c>
    </row>
    <row r="50" spans="31:44">
      <c r="AE50" s="7" t="str">
        <v>TRX0045</v>
      </c>
      <c r="AF50" s="7">
        <v>45627</v>
      </c>
      <c r="AG50" s="7" t="str">
        <v>CUST021</v>
      </c>
      <c r="AH50" s="7" t="str">
        <v>Kevin Scott</v>
      </c>
      <c r="AI50" s="7" t="str">
        <v>P007</v>
      </c>
      <c r="AJ50" s="7" t="str">
        <v>Desk</v>
      </c>
      <c r="AK50" s="7" t="str">
        <v>Furniture</v>
      </c>
      <c r="AL50" s="7">
        <v>3</v>
      </c>
      <c r="AM50" s="7">
        <v>299.99</v>
      </c>
      <c r="AN50" s="7" t="str">
        <v>Cash</v>
      </c>
      <c r="AO50" s="7" t="str">
        <v>South</v>
      </c>
      <c r="AP50" s="7" t="str">
        <v>Premium</v>
      </c>
      <c r="AQ50" s="7">
        <v>44659</v>
      </c>
      <c r="AR50" s="7">
        <v>899.97</v>
      </c>
    </row>
    <row r="51" spans="31:44">
      <c r="AE51" s="7" t="str">
        <v>TRX0094</v>
      </c>
      <c r="AF51" s="7">
        <v>45627</v>
      </c>
      <c r="AG51" s="7" t="str">
        <v>CUST017</v>
      </c>
      <c r="AH51" s="7" t="str">
        <v>Charles Allen</v>
      </c>
      <c r="AI51" s="7" t="str">
        <v>P009</v>
      </c>
      <c r="AJ51" s="7" t="str">
        <v>Monitor</v>
      </c>
      <c r="AK51" s="7" t="str">
        <v>Electronics</v>
      </c>
      <c r="AL51" s="7">
        <v>5</v>
      </c>
      <c r="AM51" s="7">
        <v>249.99</v>
      </c>
      <c r="AN51" s="7" t="str">
        <v>Cash</v>
      </c>
      <c r="AO51" s="7" t="str">
        <v>Central</v>
      </c>
      <c r="AP51" s="7" t="str">
        <v>Premium</v>
      </c>
      <c r="AQ51" s="7">
        <v>44485</v>
      </c>
      <c r="AR51" s="7">
        <v>1249.95</v>
      </c>
    </row>
    <row r="52" spans="31:44">
      <c r="AE52" s="7" t="str">
        <v>TRX0133</v>
      </c>
      <c r="AF52" s="7">
        <v>45627</v>
      </c>
      <c r="AG52" s="7" t="str">
        <v>CUST013</v>
      </c>
      <c r="AH52" s="7" t="str">
        <v>Joseph Jackson</v>
      </c>
      <c r="AI52" s="7" t="str">
        <v>P003</v>
      </c>
      <c r="AJ52" s="7" t="str">
        <v>Headphones</v>
      </c>
      <c r="AK52" s="7" t="str">
        <v>Electronics</v>
      </c>
      <c r="AL52" s="7">
        <v>2</v>
      </c>
      <c r="AM52" s="7">
        <v>149.99</v>
      </c>
      <c r="AN52" s="7" t="str">
        <v>Cash</v>
      </c>
      <c r="AO52" s="7" t="str">
        <v>South</v>
      </c>
      <c r="AP52" s="7" t="str">
        <v>Premium</v>
      </c>
      <c r="AQ52" s="7">
        <v>44475</v>
      </c>
      <c r="AR52" s="7">
        <v>299.98</v>
      </c>
    </row>
    <row r="53" spans="31:44">
      <c r="AE53" s="7" t="str">
        <v>TRX0082</v>
      </c>
      <c r="AF53" s="7">
        <v>45635</v>
      </c>
      <c r="AG53" s="7" t="str">
        <v>CUST005</v>
      </c>
      <c r="AH53" s="7" t="str">
        <v>James Johnson</v>
      </c>
      <c r="AI53" s="7" t="str">
        <v>P005</v>
      </c>
      <c r="AJ53" s="7" t="str">
        <v>Blender</v>
      </c>
      <c r="AK53" s="7" t="str">
        <v>Appliances</v>
      </c>
      <c r="AL53" s="7">
        <v>3</v>
      </c>
      <c r="AM53" s="7">
        <v>59.99</v>
      </c>
      <c r="AN53" s="7" t="str">
        <v>Cash</v>
      </c>
      <c r="AO53" s="7" t="str">
        <v>Central</v>
      </c>
      <c r="AP53" s="7" t="str">
        <v>Premium</v>
      </c>
      <c r="AQ53" s="7">
        <v>45052</v>
      </c>
      <c r="AR53" s="7">
        <v>179.97</v>
      </c>
    </row>
    <row r="54" spans="31:44">
      <c r="AE54" s="7" t="str">
        <v>TRX0032</v>
      </c>
      <c r="AF54" s="7">
        <v>45638</v>
      </c>
      <c r="AG54" s="7" t="str">
        <v>CUST041</v>
      </c>
      <c r="AH54" s="7" t="str">
        <v>Peter Richardson</v>
      </c>
      <c r="AI54" s="7" t="str">
        <v>P001</v>
      </c>
      <c r="AJ54" s="7" t="str">
        <v>Laptop</v>
      </c>
      <c r="AK54" s="7" t="str">
        <v>Electronics</v>
      </c>
      <c r="AL54" s="7">
        <v>2</v>
      </c>
      <c r="AM54" s="7">
        <v>899.99</v>
      </c>
      <c r="AN54" s="7" t="str">
        <v>Cash</v>
      </c>
      <c r="AO54" s="7" t="str">
        <v>North</v>
      </c>
      <c r="AP54" s="7" t="str">
        <v>Basic</v>
      </c>
      <c r="AQ54" s="7">
        <v>44406</v>
      </c>
      <c r="AR54" s="7">
        <v>1799.98</v>
      </c>
    </row>
    <row r="55" spans="31:44">
      <c r="AE55" s="7" t="str">
        <v>TRX0224</v>
      </c>
      <c r="AF55" s="7">
        <v>45641</v>
      </c>
      <c r="AG55" s="7" t="str">
        <v>CUST031</v>
      </c>
      <c r="AH55" s="7" t="str">
        <v>Steven Turner</v>
      </c>
      <c r="AI55" s="7" t="str">
        <v>P007</v>
      </c>
      <c r="AJ55" s="7" t="str">
        <v>Desk</v>
      </c>
      <c r="AK55" s="7" t="str">
        <v>Furniture</v>
      </c>
      <c r="AL55" s="7">
        <v>2</v>
      </c>
      <c r="AM55" s="7">
        <v>299.99</v>
      </c>
      <c r="AN55" s="7" t="str">
        <v>Cash</v>
      </c>
      <c r="AO55" s="7" t="str">
        <v>East</v>
      </c>
      <c r="AP55" s="7" t="str">
        <v>Premium</v>
      </c>
      <c r="AQ55" s="7">
        <v>44724</v>
      </c>
      <c r="AR55" s="7">
        <v>599.98</v>
      </c>
    </row>
    <row r="56" spans="31:44">
      <c r="AE56" s="7" t="str">
        <v>TRX0028</v>
      </c>
      <c r="AF56" s="7">
        <v>45644</v>
      </c>
      <c r="AG56" s="7" t="str">
        <v>CUST002</v>
      </c>
      <c r="AH56" s="7" t="str">
        <v>Emma Wilson</v>
      </c>
      <c r="AI56" s="7" t="str">
        <v>P005</v>
      </c>
      <c r="AJ56" s="7" t="str">
        <v>Blender</v>
      </c>
      <c r="AK56" s="7" t="str">
        <v>Appliances</v>
      </c>
      <c r="AL56" s="7">
        <v>2</v>
      </c>
      <c r="AM56" s="7">
        <v>59.99</v>
      </c>
      <c r="AN56" s="7" t="str">
        <v>Cash</v>
      </c>
      <c r="AO56" s="7" t="str">
        <v>West</v>
      </c>
      <c r="AP56" s="7" t="str">
        <v>Basic</v>
      </c>
      <c r="AQ56" s="7">
        <v>45191</v>
      </c>
      <c r="AR56" s="7">
        <v>119.98</v>
      </c>
    </row>
    <row r="57" spans="31:44">
      <c r="AE57" s="7" t="str">
        <v>TRX0046</v>
      </c>
      <c r="AF57" s="7">
        <v>45646</v>
      </c>
      <c r="AG57" s="7" t="str">
        <v>CUST003</v>
      </c>
      <c r="AH57" s="7" t="str">
        <v>Michael Brown</v>
      </c>
      <c r="AI57" s="7" t="str">
        <v>P008</v>
      </c>
      <c r="AJ57" s="7" t="str">
        <v>Bookshelf</v>
      </c>
      <c r="AK57" s="7" t="str">
        <v>Furniture</v>
      </c>
      <c r="AL57" s="7">
        <v>2</v>
      </c>
      <c r="AM57" s="7">
        <v>149.99</v>
      </c>
      <c r="AN57" s="7" t="str">
        <v>Cash</v>
      </c>
      <c r="AO57" s="7" t="str">
        <v>South</v>
      </c>
      <c r="AP57" s="7" t="str">
        <v>Basic</v>
      </c>
      <c r="AQ57" s="7">
        <v>45239</v>
      </c>
      <c r="AR57" s="7">
        <v>299.98</v>
      </c>
    </row>
    <row r="58" spans="31:44">
      <c r="AE58" s="7" t="str">
        <v>TRX0143</v>
      </c>
      <c r="AF58" s="7">
        <v>45654</v>
      </c>
      <c r="AG58" s="7" t="str">
        <v>CUST003</v>
      </c>
      <c r="AH58" s="7" t="str">
        <v>Michael Brown</v>
      </c>
      <c r="AI58" s="7" t="str">
        <v>P007</v>
      </c>
      <c r="AJ58" s="7" t="str">
        <v>Desk</v>
      </c>
      <c r="AK58" s="7" t="str">
        <v>Furniture</v>
      </c>
      <c r="AL58" s="7">
        <v>2</v>
      </c>
      <c r="AM58" s="7">
        <v>299.99</v>
      </c>
      <c r="AN58" s="7" t="str">
        <v>Cash</v>
      </c>
      <c r="AO58" s="7" t="str">
        <v>West</v>
      </c>
      <c r="AP58" s="7" t="str">
        <v>Basic</v>
      </c>
      <c r="AQ58" s="7">
        <v>44771</v>
      </c>
      <c r="AR58" s="7">
        <v>599.98</v>
      </c>
    </row>
    <row r="59" spans="31:44">
      <c r="AE59" s="7" t="str">
        <v>TRX0147</v>
      </c>
      <c r="AF59" s="7">
        <v>45655</v>
      </c>
      <c r="AG59" s="7" t="str">
        <v>CUST036</v>
      </c>
      <c r="AH59" s="7" t="str">
        <v>Nancy Collins</v>
      </c>
      <c r="AI59" s="7" t="str">
        <v>P008</v>
      </c>
      <c r="AJ59" s="7" t="str">
        <v>Bookshelf</v>
      </c>
      <c r="AK59" s="7" t="str">
        <v>Furniture</v>
      </c>
      <c r="AL59" s="7">
        <v>5</v>
      </c>
      <c r="AM59" s="7">
        <v>149.99</v>
      </c>
      <c r="AN59" s="7" t="str">
        <v>Cash</v>
      </c>
      <c r="AO59" s="7" t="str">
        <v>Central</v>
      </c>
      <c r="AP59" s="7" t="str">
        <v>Premium</v>
      </c>
      <c r="AQ59" s="7">
        <v>45347</v>
      </c>
      <c r="AR59" s="7">
        <v>749.95</v>
      </c>
    </row>
    <row r="60" spans="31:44">
      <c r="AE60" s="7" t="str">
        <v>TRX0091</v>
      </c>
      <c r="AF60" s="7">
        <v>45663</v>
      </c>
      <c r="AG60" s="7" t="str">
        <v>CUST003</v>
      </c>
      <c r="AH60" s="7" t="str">
        <v>Michael Brown</v>
      </c>
      <c r="AI60" s="7" t="str">
        <v>P007</v>
      </c>
      <c r="AJ60" s="7" t="str">
        <v>Desk</v>
      </c>
      <c r="AK60" s="7" t="str">
        <v>Furniture</v>
      </c>
      <c r="AL60" s="7">
        <v>3</v>
      </c>
      <c r="AM60" s="7">
        <v>299.99</v>
      </c>
      <c r="AN60" s="7" t="str">
        <v>Cash</v>
      </c>
      <c r="AO60" s="7" t="str">
        <v>South</v>
      </c>
      <c r="AP60" s="7" t="str">
        <v>Standard</v>
      </c>
      <c r="AQ60" s="7">
        <v>44422</v>
      </c>
      <c r="AR60" s="7">
        <v>899.97</v>
      </c>
    </row>
    <row r="61" spans="31:44">
      <c r="AE61" s="7" t="str">
        <v>TRX0238</v>
      </c>
      <c r="AF61" s="7">
        <v>45668</v>
      </c>
      <c r="AG61" s="7" t="str">
        <v>CUST038</v>
      </c>
      <c r="AH61" s="7" t="str">
        <v>Michelle Rogers</v>
      </c>
      <c r="AI61" s="7" t="str">
        <v>P002</v>
      </c>
      <c r="AJ61" s="7" t="str">
        <v>Smartphone</v>
      </c>
      <c r="AK61" s="7" t="str">
        <v>Electronics</v>
      </c>
      <c r="AL61" s="7">
        <v>3</v>
      </c>
      <c r="AM61" s="7">
        <v>699.99</v>
      </c>
      <c r="AN61" s="7" t="str">
        <v>Cash</v>
      </c>
      <c r="AO61" s="7" t="str">
        <v>North</v>
      </c>
      <c r="AP61" s="7" t="str">
        <v>Premium</v>
      </c>
      <c r="AQ61" s="7">
        <v>44602</v>
      </c>
      <c r="AR61" s="7">
        <v>2099.9699999999998</v>
      </c>
    </row>
    <row r="62" spans="31:44">
      <c r="AE62" s="7" t="str">
        <v>TRX0107</v>
      </c>
      <c r="AF62" s="7">
        <v>45671</v>
      </c>
      <c r="AG62" s="7" t="str">
        <v>CUST030</v>
      </c>
      <c r="AH62" s="7" t="str">
        <v>Helen Roberts</v>
      </c>
      <c r="AI62" s="7" t="str">
        <v>P003</v>
      </c>
      <c r="AJ62" s="7" t="str">
        <v>Headphones</v>
      </c>
      <c r="AK62" s="7" t="str">
        <v>Electronics</v>
      </c>
      <c r="AL62" s="7">
        <v>2</v>
      </c>
      <c r="AM62" s="7">
        <v>149.99</v>
      </c>
      <c r="AN62" s="7" t="str">
        <v>Cash</v>
      </c>
      <c r="AO62" s="7" t="str">
        <v>North</v>
      </c>
      <c r="AP62" s="7" t="str">
        <v>Standard</v>
      </c>
      <c r="AQ62" s="7">
        <v>44913</v>
      </c>
      <c r="AR62" s="7">
        <v>299.98</v>
      </c>
    </row>
    <row r="63" spans="31:44">
      <c r="AE63" s="7" t="str">
        <v>TRX0187</v>
      </c>
      <c r="AF63" s="7">
        <v>45701</v>
      </c>
      <c r="AG63" s="7" t="str">
        <v>CUST036</v>
      </c>
      <c r="AH63" s="7" t="str">
        <v>Nancy Collins</v>
      </c>
      <c r="AI63" s="7" t="str">
        <v>P004</v>
      </c>
      <c r="AJ63" s="7" t="str">
        <v>Coffee Maker</v>
      </c>
      <c r="AK63" s="7" t="str">
        <v>Appliances</v>
      </c>
      <c r="AL63" s="7">
        <v>3</v>
      </c>
      <c r="AM63" s="7">
        <v>79.989999999999995</v>
      </c>
      <c r="AN63" s="7" t="str">
        <v>Cash</v>
      </c>
      <c r="AO63" s="7" t="str">
        <v>East</v>
      </c>
      <c r="AP63" s="7" t="str">
        <v>Premium</v>
      </c>
      <c r="AQ63" s="7">
        <v>44436</v>
      </c>
      <c r="AR63" s="7">
        <v>239.97</v>
      </c>
    </row>
    <row r="64" spans="31:44">
      <c r="AE64" s="7" t="str">
        <v>TRX0089</v>
      </c>
      <c r="AF64" s="7">
        <v>45704</v>
      </c>
      <c r="AG64" s="7" t="str">
        <v>CUST021</v>
      </c>
      <c r="AH64" s="7" t="str">
        <v>Kevin Scott</v>
      </c>
      <c r="AI64" s="7" t="str">
        <v>P006</v>
      </c>
      <c r="AJ64" s="7" t="str">
        <v>Office Chair</v>
      </c>
      <c r="AK64" s="7" t="str">
        <v>Furniture</v>
      </c>
      <c r="AL64" s="7">
        <v>3</v>
      </c>
      <c r="AM64" s="7">
        <v>199.99</v>
      </c>
      <c r="AN64" s="7" t="str">
        <v>Cash</v>
      </c>
      <c r="AO64" s="7" t="str">
        <v>Central</v>
      </c>
      <c r="AP64" s="7" t="str">
        <v>Basic</v>
      </c>
      <c r="AQ64" s="7">
        <v>44735</v>
      </c>
      <c r="AR64" s="7">
        <v>599.97</v>
      </c>
    </row>
    <row r="65" spans="31:44">
      <c r="AE65" s="7" t="str">
        <v>TRX0118</v>
      </c>
      <c r="AF65" s="7">
        <v>45705</v>
      </c>
      <c r="AG65" s="7" t="str">
        <v>CUST015</v>
      </c>
      <c r="AH65" s="7" t="str">
        <v>Richard Lee</v>
      </c>
      <c r="AI65" s="7" t="str">
        <v>P008</v>
      </c>
      <c r="AJ65" s="7" t="str">
        <v>Bookshelf</v>
      </c>
      <c r="AK65" s="7" t="str">
        <v>Furniture</v>
      </c>
      <c r="AL65" s="7">
        <v>2</v>
      </c>
      <c r="AM65" s="7">
        <v>149.99</v>
      </c>
      <c r="AN65" s="7" t="str">
        <v>Cash</v>
      </c>
      <c r="AO65" s="7" t="str">
        <v>South</v>
      </c>
      <c r="AP65" s="7" t="str">
        <v>Premium</v>
      </c>
      <c r="AQ65" s="7">
        <v>44728</v>
      </c>
      <c r="AR65" s="7">
        <v>299.98</v>
      </c>
    </row>
    <row r="66" spans="31:44">
      <c r="AE66" s="7" t="str">
        <v>TRX0214</v>
      </c>
      <c r="AF66" s="7">
        <v>45708</v>
      </c>
      <c r="AG66" s="7" t="str">
        <v>CUST018</v>
      </c>
      <c r="AH66" s="7" t="str">
        <v>Barbara Young</v>
      </c>
      <c r="AI66" s="7" t="str">
        <v>P001</v>
      </c>
      <c r="AJ66" s="7" t="str">
        <v>Laptop</v>
      </c>
      <c r="AK66" s="7" t="str">
        <v>Electronics</v>
      </c>
      <c r="AL66" s="7">
        <v>3</v>
      </c>
      <c r="AM66" s="7">
        <v>899.99</v>
      </c>
      <c r="AN66" s="7" t="str">
        <v>Cash</v>
      </c>
      <c r="AO66" s="7" t="str">
        <v>East</v>
      </c>
      <c r="AP66" s="7" t="str">
        <v>Standard</v>
      </c>
      <c r="AQ66" s="7">
        <v>44613</v>
      </c>
      <c r="AR66" s="7">
        <v>2699.97</v>
      </c>
    </row>
    <row r="67" spans="31:44">
      <c r="AE67" s="7" t="str">
        <v>TRX0221</v>
      </c>
      <c r="AF67" s="7">
        <v>45708</v>
      </c>
      <c r="AG67" s="7" t="str">
        <v>CUST033</v>
      </c>
      <c r="AH67" s="7" t="str">
        <v>Frank Torres</v>
      </c>
      <c r="AI67" s="7" t="str">
        <v>P006</v>
      </c>
      <c r="AJ67" s="7" t="str">
        <v>Office Chair</v>
      </c>
      <c r="AK67" s="7" t="str">
        <v>Furniture</v>
      </c>
      <c r="AL67" s="7">
        <v>3</v>
      </c>
      <c r="AM67" s="7">
        <v>199.99</v>
      </c>
      <c r="AN67" s="7" t="str">
        <v>Cash</v>
      </c>
      <c r="AO67" s="7" t="str">
        <v>West</v>
      </c>
      <c r="AP67" s="7" t="str">
        <v>Premium</v>
      </c>
      <c r="AQ67" s="7">
        <v>44823</v>
      </c>
      <c r="AR67" s="7">
        <v>599.97</v>
      </c>
    </row>
    <row r="68" spans="31:44">
      <c r="AE68" s="7" t="str">
        <v>TRX0083</v>
      </c>
      <c r="AF68" s="7">
        <v>45710</v>
      </c>
      <c r="AG68" s="7" t="str">
        <v>CUST017</v>
      </c>
      <c r="AH68" s="7" t="str">
        <v>Charles Allen</v>
      </c>
      <c r="AI68" s="7" t="str">
        <v>P007</v>
      </c>
      <c r="AJ68" s="7" t="str">
        <v>Desk</v>
      </c>
      <c r="AK68" s="7" t="str">
        <v>Furniture</v>
      </c>
      <c r="AL68" s="7">
        <v>5</v>
      </c>
      <c r="AM68" s="7">
        <v>299.99</v>
      </c>
      <c r="AN68" s="7" t="str">
        <v>Cash</v>
      </c>
      <c r="AO68" s="7" t="str">
        <v>West</v>
      </c>
      <c r="AP68" s="7" t="str">
        <v>Standard</v>
      </c>
      <c r="AQ68" s="7">
        <v>45142</v>
      </c>
      <c r="AR68" s="7">
        <v>1499.95</v>
      </c>
    </row>
    <row r="69" spans="31:44">
      <c r="AE69" s="7" t="str">
        <v>TRX0047</v>
      </c>
      <c r="AF69" s="7">
        <v>45711</v>
      </c>
      <c r="AG69" s="7" t="str">
        <v>CUST042</v>
      </c>
      <c r="AH69" s="7" t="str">
        <v>Ruth Brooks</v>
      </c>
      <c r="AI69" s="7" t="str">
        <v>P002</v>
      </c>
      <c r="AJ69" s="7" t="str">
        <v>Smartphone</v>
      </c>
      <c r="AK69" s="7" t="str">
        <v>Electronics</v>
      </c>
      <c r="AL69" s="7">
        <v>1</v>
      </c>
      <c r="AM69" s="7">
        <v>699.99</v>
      </c>
      <c r="AN69" s="7" t="str">
        <v>Cash</v>
      </c>
      <c r="AO69" s="7" t="str">
        <v>North</v>
      </c>
      <c r="AP69" s="7" t="str">
        <v>Premium</v>
      </c>
      <c r="AQ69" s="7">
        <v>44583</v>
      </c>
      <c r="AR69" s="7">
        <v>699.99</v>
      </c>
    </row>
    <row r="70" spans="31:44">
      <c r="AE70" s="7" t="str">
        <v>TRX0182</v>
      </c>
      <c r="AF70" s="7">
        <v>45712</v>
      </c>
      <c r="AG70" s="7" t="str">
        <v>CUST031</v>
      </c>
      <c r="AH70" s="7" t="str">
        <v>Steven Turner</v>
      </c>
      <c r="AI70" s="7" t="str">
        <v>P006</v>
      </c>
      <c r="AJ70" s="7" t="str">
        <v>Office Chair</v>
      </c>
      <c r="AK70" s="7" t="str">
        <v>Furniture</v>
      </c>
      <c r="AL70" s="7">
        <v>2</v>
      </c>
      <c r="AM70" s="7">
        <v>199.99</v>
      </c>
      <c r="AN70" s="7" t="str">
        <v>Cash</v>
      </c>
      <c r="AO70" s="7" t="str">
        <v>Central</v>
      </c>
      <c r="AP70" s="7" t="str">
        <v>Premium</v>
      </c>
      <c r="AQ70" s="7">
        <v>44573</v>
      </c>
      <c r="AR70" s="7">
        <v>399.98</v>
      </c>
    </row>
    <row r="71" spans="31:44">
      <c r="AE71" s="7" t="str">
        <v>TRX0229</v>
      </c>
      <c r="AF71" s="7">
        <v>45715</v>
      </c>
      <c r="AG71" s="7" t="str">
        <v>CUST015</v>
      </c>
      <c r="AH71" s="7" t="str">
        <v>Richard Lee</v>
      </c>
      <c r="AI71" s="7" t="str">
        <v>P005</v>
      </c>
      <c r="AJ71" s="7" t="str">
        <v>Blender</v>
      </c>
      <c r="AK71" s="7" t="str">
        <v>Appliances</v>
      </c>
      <c r="AL71" s="7">
        <v>4</v>
      </c>
      <c r="AM71" s="7">
        <v>59.99</v>
      </c>
      <c r="AN71" s="7" t="str">
        <v>Cash</v>
      </c>
      <c r="AO71" s="7" t="str">
        <v>West</v>
      </c>
      <c r="AP71" s="7" t="str">
        <v>Standard</v>
      </c>
      <c r="AQ71" s="7">
        <v>45070</v>
      </c>
      <c r="AR71" s="7">
        <v>239.96</v>
      </c>
    </row>
    <row r="72" spans="31:44">
      <c r="AE72" s="7" t="str">
        <v>TRX0227</v>
      </c>
      <c r="AF72" s="7">
        <v>45718</v>
      </c>
      <c r="AG72" s="7" t="str">
        <v>CUST017</v>
      </c>
      <c r="AH72" s="7" t="str">
        <v>Charles Allen</v>
      </c>
      <c r="AI72" s="7" t="str">
        <v>P008</v>
      </c>
      <c r="AJ72" s="7" t="str">
        <v>Bookshelf</v>
      </c>
      <c r="AK72" s="7" t="str">
        <v>Furniture</v>
      </c>
      <c r="AL72" s="7">
        <v>2</v>
      </c>
      <c r="AM72" s="7">
        <v>149.99</v>
      </c>
      <c r="AN72" s="7" t="str">
        <v>Cash</v>
      </c>
      <c r="AO72" s="7" t="str">
        <v>Central</v>
      </c>
      <c r="AP72" s="7" t="str">
        <v>Basic</v>
      </c>
      <c r="AQ72" s="7">
        <v>45068</v>
      </c>
      <c r="AR72" s="7">
        <v>299.98</v>
      </c>
    </row>
    <row r="73" spans="31:44">
      <c r="AE73" s="7" t="str">
        <v>TRX0053</v>
      </c>
      <c r="AF73" s="7">
        <v>45721</v>
      </c>
      <c r="AG73" s="7" t="str">
        <v>CUST043</v>
      </c>
      <c r="AH73" s="7" t="str">
        <v>Dennis Gray</v>
      </c>
      <c r="AI73" s="7" t="str">
        <v>P005</v>
      </c>
      <c r="AJ73" s="7" t="str">
        <v>Blender</v>
      </c>
      <c r="AK73" s="7" t="str">
        <v>Appliances</v>
      </c>
      <c r="AL73" s="7">
        <v>5</v>
      </c>
      <c r="AM73" s="7">
        <v>59.99</v>
      </c>
      <c r="AN73" s="7" t="str">
        <v>Cash</v>
      </c>
      <c r="AO73" s="7" t="str">
        <v>West</v>
      </c>
      <c r="AP73" s="7" t="str">
        <v>Premium</v>
      </c>
      <c r="AQ73" s="7">
        <v>45291</v>
      </c>
      <c r="AR73" s="7">
        <v>299.95</v>
      </c>
    </row>
    <row r="74" spans="31:44">
      <c r="AE74" s="7" t="str">
        <v>TRX0175</v>
      </c>
      <c r="AF74" s="7">
        <v>45723</v>
      </c>
      <c r="AG74" s="7" t="str">
        <v>CUST030</v>
      </c>
      <c r="AH74" s="7" t="str">
        <v>Helen Roberts</v>
      </c>
      <c r="AI74" s="7" t="str">
        <v>P009</v>
      </c>
      <c r="AJ74" s="7" t="str">
        <v>Monitor</v>
      </c>
      <c r="AK74" s="7" t="str">
        <v>Electronics</v>
      </c>
      <c r="AL74" s="7">
        <v>5</v>
      </c>
      <c r="AM74" s="7">
        <v>249.99</v>
      </c>
      <c r="AN74" s="7" t="str">
        <v>Cash</v>
      </c>
      <c r="AO74" s="7" t="str">
        <v>East</v>
      </c>
      <c r="AP74" s="7" t="str">
        <v>Standard</v>
      </c>
      <c r="AQ74" s="7">
        <v>44540</v>
      </c>
      <c r="AR74" s="7">
        <v>1249.95</v>
      </c>
    </row>
    <row r="75" spans="31:44">
      <c r="AE75" s="7" t="str">
        <v>TRX0199</v>
      </c>
      <c r="AF75" s="7">
        <v>45724</v>
      </c>
      <c r="AG75" s="7" t="str">
        <v>CUST017</v>
      </c>
      <c r="AH75" s="7" t="str">
        <v>Charles Allen</v>
      </c>
      <c r="AI75" s="7" t="str">
        <v>P008</v>
      </c>
      <c r="AJ75" s="7" t="str">
        <v>Bookshelf</v>
      </c>
      <c r="AK75" s="7" t="str">
        <v>Furniture</v>
      </c>
      <c r="AL75" s="7">
        <v>4</v>
      </c>
      <c r="AM75" s="7">
        <v>149.99</v>
      </c>
      <c r="AN75" s="7" t="str">
        <v>Cash</v>
      </c>
      <c r="AO75" s="7" t="str">
        <v>Central</v>
      </c>
      <c r="AP75" s="7" t="str">
        <v>Standard</v>
      </c>
      <c r="AQ75" s="7">
        <v>45263</v>
      </c>
      <c r="AR75" s="7">
        <v>599.96</v>
      </c>
    </row>
    <row r="76" spans="31:44">
      <c r="AE76" s="7" t="str">
        <v>TRX0038</v>
      </c>
      <c r="AF76" s="7">
        <v>45726</v>
      </c>
      <c r="AG76" s="7" t="str">
        <v>CUST035</v>
      </c>
      <c r="AH76" s="7" t="str">
        <v>Harry Morgan</v>
      </c>
      <c r="AI76" s="7" t="str">
        <v>P009</v>
      </c>
      <c r="AJ76" s="7" t="str">
        <v>Monitor</v>
      </c>
      <c r="AK76" s="7" t="str">
        <v>Electronics</v>
      </c>
      <c r="AL76" s="7">
        <v>1</v>
      </c>
      <c r="AM76" s="7">
        <v>249.99</v>
      </c>
      <c r="AN76" s="7" t="str">
        <v>Cash</v>
      </c>
      <c r="AO76" s="7" t="str">
        <v>North</v>
      </c>
      <c r="AP76" s="7" t="str">
        <v>Standard</v>
      </c>
      <c r="AQ76" s="7">
        <v>45117</v>
      </c>
      <c r="AR76" s="7">
        <v>249.99</v>
      </c>
    </row>
    <row r="77" spans="31:44">
      <c r="AE77" s="7" t="str">
        <v>TRX0003</v>
      </c>
      <c r="AF77" s="7">
        <v>45737</v>
      </c>
      <c r="AG77" s="7" t="str">
        <v>CUST002</v>
      </c>
      <c r="AH77" s="7" t="str">
        <v>Emma Wilson</v>
      </c>
      <c r="AI77" s="7" t="str">
        <v>P008</v>
      </c>
      <c r="AJ77" s="7" t="str">
        <v>Bookshelf</v>
      </c>
      <c r="AK77" s="7" t="str">
        <v>Furniture</v>
      </c>
      <c r="AL77" s="7">
        <v>2</v>
      </c>
      <c r="AM77" s="7">
        <v>149.99</v>
      </c>
      <c r="AN77" s="7" t="str">
        <v>Cash</v>
      </c>
      <c r="AO77" s="7" t="str">
        <v>West</v>
      </c>
      <c r="AP77" s="7" t="str">
        <v>Premium</v>
      </c>
      <c r="AQ77" s="7">
        <v>45233</v>
      </c>
      <c r="AR77" s="7">
        <v>299.98</v>
      </c>
    </row>
    <row r="78" spans="31:44">
      <c r="AE78" s="7" t="str">
        <v>TRX0144</v>
      </c>
      <c r="AF78" s="7">
        <v>45749</v>
      </c>
      <c r="AG78" s="7" t="str">
        <v>CUST029</v>
      </c>
      <c r="AH78" s="7" t="str">
        <v>Edward Mitchell</v>
      </c>
      <c r="AI78" s="7" t="str">
        <v>P001</v>
      </c>
      <c r="AJ78" s="7" t="str">
        <v>Laptop</v>
      </c>
      <c r="AK78" s="7" t="str">
        <v>Electronics</v>
      </c>
      <c r="AL78" s="7">
        <v>3</v>
      </c>
      <c r="AM78" s="7">
        <v>899.99</v>
      </c>
      <c r="AN78" s="7" t="str">
        <v>Cash</v>
      </c>
      <c r="AO78" s="7" t="str">
        <v>Central</v>
      </c>
      <c r="AP78" s="7" t="str">
        <v>Standard</v>
      </c>
      <c r="AQ78" s="7">
        <v>44953</v>
      </c>
      <c r="AR78" s="7">
        <v>2699.97</v>
      </c>
    </row>
    <row r="82" spans="1:10">
      <c r="A82" s="2" t="s">
        <v>409</v>
      </c>
      <c r="B82" s="1"/>
      <c r="C82" s="1"/>
      <c r="D82" s="2" t="s">
        <v>410</v>
      </c>
      <c r="E82" s="1"/>
      <c r="F82" s="2" t="s">
        <v>411</v>
      </c>
      <c r="G82" s="1"/>
      <c r="H82" s="2" t="s">
        <v>412</v>
      </c>
      <c r="I82" s="1"/>
      <c r="J82" s="2" t="s">
        <v>413</v>
      </c>
    </row>
    <row r="83" spans="1:10">
      <c r="A83" s="1" t="str" cm="1">
        <f t="array" ref="A83:A133">_xlfn.UNIQUE(Dataset!D2:D252)</f>
        <v>Paul Baker</v>
      </c>
      <c r="B83" s="1"/>
      <c r="C83" s="1"/>
      <c r="D83" s="1">
        <f>SUMIF(Dataset!D2:D252,'Analysis &amp; Calculation'!A83,Dataset!N2:N252)</f>
        <v>8309.739999999998</v>
      </c>
      <c r="E83" s="1"/>
      <c r="F83" s="1">
        <f>COUNTIF(Dataset!D2:D252,'Analysis &amp; Calculation'!A83)</f>
        <v>8</v>
      </c>
      <c r="G83" s="1"/>
      <c r="H83" s="1">
        <f>AVERAGEIF(Dataset!D2:D252,'Analysis &amp; Calculation'!A83,Dataset!N2:N252)</f>
        <v>1038.7174999999997</v>
      </c>
      <c r="I83" s="1"/>
      <c r="J83" s="1" t="str">
        <f>IF(D83&gt;5000,"VIP Customer","Standard Customer")</f>
        <v>VIP Customer</v>
      </c>
    </row>
    <row r="84" spans="1:10">
      <c r="A84" s="1" t="str">
        <v>Joseph Jackson</v>
      </c>
      <c r="B84" s="1"/>
      <c r="C84" s="1"/>
      <c r="D84" s="1">
        <f>SUMIF(Dataset!D3:D253,'Analysis &amp; Calculation'!A84,Dataset!N3:N253)</f>
        <v>6949.84</v>
      </c>
      <c r="E84" s="1"/>
      <c r="F84" s="1">
        <f>COUNTIF(Dataset!D3:D253,'Analysis &amp; Calculation'!A84)</f>
        <v>5</v>
      </c>
      <c r="G84" s="1"/>
      <c r="H84" s="1">
        <f>AVERAGEIF(Dataset!D3:D253,'Analysis &amp; Calculation'!A84,Dataset!N3:N253)</f>
        <v>1389.9680000000001</v>
      </c>
      <c r="I84" s="1"/>
      <c r="J84" s="1" t="str">
        <f t="shared" ref="J84:J132" si="0">IF(D84&gt;5000,"VIP Customer","Standard Customer")</f>
        <v>VIP Customer</v>
      </c>
    </row>
    <row r="85" spans="1:10">
      <c r="A85" s="1" t="str">
        <v>Kevin Scott</v>
      </c>
      <c r="B85" s="1"/>
      <c r="C85" s="1"/>
      <c r="D85" s="1">
        <f>SUMIF(Dataset!D4:D254,'Analysis &amp; Calculation'!A85,Dataset!N4:N254)</f>
        <v>3259.87</v>
      </c>
      <c r="E85" s="1"/>
      <c r="F85" s="1">
        <f>COUNTIF(Dataset!D4:D254,'Analysis &amp; Calculation'!A85)</f>
        <v>6</v>
      </c>
      <c r="G85" s="1"/>
      <c r="H85" s="1">
        <f>AVERAGEIF(Dataset!D4:D254,'Analysis &amp; Calculation'!A85,Dataset!N4:N254)</f>
        <v>543.31166666666661</v>
      </c>
      <c r="I85" s="1"/>
      <c r="J85" s="1" t="str">
        <f t="shared" si="0"/>
        <v>Standard Customer</v>
      </c>
    </row>
    <row r="86" spans="1:10">
      <c r="A86" s="1" t="str">
        <v>Kathleen Bennett</v>
      </c>
      <c r="B86" s="1"/>
      <c r="C86" s="1"/>
      <c r="D86" s="1">
        <f>SUMIF(Dataset!D5:D255,'Analysis &amp; Calculation'!A86,Dataset!N5:N255)</f>
        <v>4309.8099999999995</v>
      </c>
      <c r="E86" s="1"/>
      <c r="F86" s="1">
        <f>COUNTIF(Dataset!D5:D255,'Analysis &amp; Calculation'!A86)</f>
        <v>6</v>
      </c>
      <c r="G86" s="1"/>
      <c r="H86" s="1">
        <f>AVERAGEIF(Dataset!D5:D255,'Analysis &amp; Calculation'!A86,Dataset!N5:N255)</f>
        <v>718.30166666666662</v>
      </c>
      <c r="I86" s="1"/>
      <c r="J86" s="1" t="str">
        <f t="shared" si="0"/>
        <v>Standard Customer</v>
      </c>
    </row>
    <row r="87" spans="1:10">
      <c r="A87" s="1" t="str">
        <v>Michael Brown</v>
      </c>
      <c r="B87" s="1"/>
      <c r="C87" s="1"/>
      <c r="D87" s="1">
        <f>SUMIF(Dataset!D6:D256,'Analysis &amp; Calculation'!A87,Dataset!N6:N256)</f>
        <v>6169.7400000000007</v>
      </c>
      <c r="E87" s="1"/>
      <c r="F87" s="1">
        <f>COUNTIF(Dataset!D6:D256,'Analysis &amp; Calculation'!A87)</f>
        <v>9</v>
      </c>
      <c r="G87" s="1"/>
      <c r="H87" s="1">
        <f>AVERAGEIF(Dataset!D6:D256,'Analysis &amp; Calculation'!A87,Dataset!N6:N256)</f>
        <v>685.52666666666676</v>
      </c>
      <c r="I87" s="1"/>
      <c r="J87" s="1" t="str">
        <f t="shared" si="0"/>
        <v>VIP Customer</v>
      </c>
    </row>
    <row r="88" spans="1:10">
      <c r="A88" s="1" t="str">
        <v>Dorothy Nelson</v>
      </c>
      <c r="B88" s="1"/>
      <c r="C88" s="1"/>
      <c r="D88" s="1">
        <f>SUMIF(Dataset!D7:D257,'Analysis &amp; Calculation'!A88,Dataset!N7:N257)</f>
        <v>8269.7900000000009</v>
      </c>
      <c r="E88" s="1"/>
      <c r="F88" s="1">
        <f>COUNTIF(Dataset!D7:D257,'Analysis &amp; Calculation'!A88)</f>
        <v>6</v>
      </c>
      <c r="G88" s="1"/>
      <c r="H88" s="1">
        <f>AVERAGEIF(Dataset!D7:D257,'Analysis &amp; Calculation'!A88,Dataset!N7:N257)</f>
        <v>1378.2983333333334</v>
      </c>
      <c r="I88" s="1"/>
      <c r="J88" s="1" t="str">
        <f t="shared" si="0"/>
        <v>VIP Customer</v>
      </c>
    </row>
    <row r="89" spans="1:10">
      <c r="A89" s="1" t="str">
        <v>Charles Allen</v>
      </c>
      <c r="B89" s="1"/>
      <c r="C89" s="1"/>
      <c r="D89" s="1">
        <f>SUMIF(Dataset!D8:D258,'Analysis &amp; Calculation'!A89,Dataset!N8:N258)</f>
        <v>5089.7300000000005</v>
      </c>
      <c r="E89" s="1"/>
      <c r="F89" s="1">
        <f>COUNTIF(Dataset!D8:D258,'Analysis &amp; Calculation'!A89)</f>
        <v>9</v>
      </c>
      <c r="G89" s="1"/>
      <c r="H89" s="1">
        <f>AVERAGEIF(Dataset!D8:D258,'Analysis &amp; Calculation'!A89,Dataset!N8:N258)</f>
        <v>565.52555555555557</v>
      </c>
      <c r="I89" s="1"/>
      <c r="J89" s="1" t="str">
        <f t="shared" si="0"/>
        <v>VIP Customer</v>
      </c>
    </row>
    <row r="90" spans="1:10">
      <c r="A90" s="1" t="str">
        <v>Robert Thomas</v>
      </c>
      <c r="B90" s="1"/>
      <c r="C90" s="1"/>
      <c r="D90" s="1">
        <f>SUMIF(Dataset!D9:D259,'Analysis &amp; Calculation'!A90,Dataset!N9:N259)</f>
        <v>3509.8999999999996</v>
      </c>
      <c r="E90" s="1"/>
      <c r="F90" s="1">
        <f>COUNTIF(Dataset!D9:D259,'Analysis &amp; Calculation'!A90)</f>
        <v>5</v>
      </c>
      <c r="G90" s="1"/>
      <c r="H90" s="1">
        <f>AVERAGEIF(Dataset!D9:D259,'Analysis &amp; Calculation'!A90,Dataset!N9:N259)</f>
        <v>701.9799999999999</v>
      </c>
      <c r="I90" s="1"/>
      <c r="J90" s="1" t="str">
        <f t="shared" si="0"/>
        <v>Standard Customer</v>
      </c>
    </row>
    <row r="91" spans="1:10">
      <c r="A91" s="1" t="str">
        <v>Karen Hill</v>
      </c>
      <c r="B91" s="1"/>
      <c r="C91" s="1"/>
      <c r="D91" s="1">
        <f>SUMIF(Dataset!D10:D260,'Analysis &amp; Calculation'!A91,Dataset!N10:N260)</f>
        <v>8009.7699999999995</v>
      </c>
      <c r="E91" s="1"/>
      <c r="F91" s="1">
        <f>COUNTIF(Dataset!D10:D260,'Analysis &amp; Calculation'!A91)</f>
        <v>8</v>
      </c>
      <c r="G91" s="1"/>
      <c r="H91" s="1">
        <f>AVERAGEIF(Dataset!D10:D260,'Analysis &amp; Calculation'!A91,Dataset!N10:N260)</f>
        <v>1001.2212499999999</v>
      </c>
      <c r="I91" s="1"/>
      <c r="J91" s="1" t="str">
        <f t="shared" si="0"/>
        <v>VIP Customer</v>
      </c>
    </row>
    <row r="92" spans="1:10">
      <c r="A92" s="1" t="str">
        <v>Susan Green</v>
      </c>
      <c r="B92" s="1"/>
      <c r="C92" s="1"/>
      <c r="D92" s="1">
        <f>SUMIF(Dataset!D11:D261,'Analysis &amp; Calculation'!A92,Dataset!N11:N261)</f>
        <v>1979.89</v>
      </c>
      <c r="E92" s="1"/>
      <c r="F92" s="1">
        <f>COUNTIF(Dataset!D11:D261,'Analysis &amp; Calculation'!A92)</f>
        <v>4</v>
      </c>
      <c r="G92" s="1"/>
      <c r="H92" s="1">
        <f>AVERAGEIF(Dataset!D11:D261,'Analysis &amp; Calculation'!A92,Dataset!N11:N261)</f>
        <v>494.97250000000003</v>
      </c>
      <c r="I92" s="1"/>
      <c r="J92" s="1" t="str">
        <f t="shared" si="0"/>
        <v>Standard Customer</v>
      </c>
    </row>
    <row r="93" spans="1:10">
      <c r="A93" s="1" t="str">
        <v>Peter Richardson</v>
      </c>
      <c r="B93" s="1"/>
      <c r="C93" s="1"/>
      <c r="D93" s="1">
        <f>SUMIF(Dataset!D12:D262,'Analysis &amp; Calculation'!A93,Dataset!N12:N262)</f>
        <v>5949.85</v>
      </c>
      <c r="E93" s="1"/>
      <c r="F93" s="1">
        <f>COUNTIF(Dataset!D12:D262,'Analysis &amp; Calculation'!A93)</f>
        <v>5</v>
      </c>
      <c r="G93" s="1"/>
      <c r="H93" s="1">
        <f>AVERAGEIF(Dataset!D12:D262,'Analysis &amp; Calculation'!A93,Dataset!N12:N262)</f>
        <v>1189.97</v>
      </c>
      <c r="I93" s="1"/>
      <c r="J93" s="1" t="str">
        <f t="shared" si="0"/>
        <v>VIP Customer</v>
      </c>
    </row>
    <row r="94" spans="1:10">
      <c r="A94" s="1" t="str">
        <v>Dennis Gray</v>
      </c>
      <c r="B94" s="1"/>
      <c r="C94" s="1"/>
      <c r="D94" s="1">
        <f>SUMIF(Dataset!D13:D263,'Analysis &amp; Calculation'!A94,Dataset!N13:N263)</f>
        <v>479.91999999999996</v>
      </c>
      <c r="E94" s="1"/>
      <c r="F94" s="1">
        <f>COUNTIF(Dataset!D13:D263,'Analysis &amp; Calculation'!A94)</f>
        <v>2</v>
      </c>
      <c r="G94" s="1"/>
      <c r="H94" s="1">
        <f>AVERAGEIF(Dataset!D13:D263,'Analysis &amp; Calculation'!A94,Dataset!N13:N263)</f>
        <v>239.95999999999998</v>
      </c>
      <c r="I94" s="1"/>
      <c r="J94" s="1" t="str">
        <f t="shared" si="0"/>
        <v>Standard Customer</v>
      </c>
    </row>
    <row r="95" spans="1:10">
      <c r="A95" s="1" t="str">
        <v>Michelle Rogers</v>
      </c>
      <c r="B95" s="1"/>
      <c r="C95" s="1"/>
      <c r="D95" s="1">
        <f>SUMIF(Dataset!D14:D264,'Analysis &amp; Calculation'!A95,Dataset!N14:N264)</f>
        <v>4199.9399999999996</v>
      </c>
      <c r="E95" s="1"/>
      <c r="F95" s="1">
        <f>COUNTIF(Dataset!D14:D264,'Analysis &amp; Calculation'!A95)</f>
        <v>2</v>
      </c>
      <c r="G95" s="1"/>
      <c r="H95" s="1">
        <f>AVERAGEIF(Dataset!D14:D264,'Analysis &amp; Calculation'!A95,Dataset!N14:N264)</f>
        <v>2099.9699999999998</v>
      </c>
      <c r="I95" s="1"/>
      <c r="J95" s="1" t="str">
        <f t="shared" si="0"/>
        <v>Standard Customer</v>
      </c>
    </row>
    <row r="96" spans="1:10">
      <c r="A96" s="1" t="str">
        <v>George Adams</v>
      </c>
      <c r="B96" s="1"/>
      <c r="C96" s="1"/>
      <c r="D96" s="1">
        <f>SUMIF(Dataset!D15:D265,'Analysis &amp; Calculation'!A96,Dataset!N15:N265)</f>
        <v>3779.93</v>
      </c>
      <c r="E96" s="1"/>
      <c r="F96" s="1">
        <f>COUNTIF(Dataset!D15:D265,'Analysis &amp; Calculation'!A96)</f>
        <v>3</v>
      </c>
      <c r="G96" s="1"/>
      <c r="H96" s="1">
        <f>AVERAGEIF(Dataset!D15:D265,'Analysis &amp; Calculation'!A96,Dataset!N15:N265)</f>
        <v>1259.9766666666667</v>
      </c>
      <c r="I96" s="1"/>
      <c r="J96" s="1" t="str">
        <f t="shared" si="0"/>
        <v>Standard Customer</v>
      </c>
    </row>
    <row r="97" spans="1:10">
      <c r="A97" s="1" t="str">
        <v>Mark Carter</v>
      </c>
      <c r="B97" s="1"/>
      <c r="C97" s="1"/>
      <c r="D97" s="1">
        <f>SUMIF(Dataset!D16:D266,'Analysis &amp; Calculation'!A97,Dataset!N16:N266)</f>
        <v>15659.65</v>
      </c>
      <c r="E97" s="1"/>
      <c r="F97" s="1">
        <f>COUNTIF(Dataset!D16:D266,'Analysis &amp; Calculation'!A97)</f>
        <v>12</v>
      </c>
      <c r="G97" s="1"/>
      <c r="H97" s="1">
        <f>AVERAGEIF(Dataset!D16:D266,'Analysis &amp; Calculation'!A97,Dataset!N16:N266)</f>
        <v>1304.9708333333333</v>
      </c>
      <c r="I97" s="1"/>
      <c r="J97" s="1" t="str">
        <f t="shared" si="0"/>
        <v>VIP Customer</v>
      </c>
    </row>
    <row r="98" spans="1:10">
      <c r="A98" s="1" t="str">
        <v>Maria Garcia</v>
      </c>
      <c r="B98" s="1"/>
      <c r="C98" s="1"/>
      <c r="D98" s="1">
        <f>SUMIF(Dataset!D17:D267,'Analysis &amp; Calculation'!A98,Dataset!N17:N267)</f>
        <v>1909.93</v>
      </c>
      <c r="E98" s="1"/>
      <c r="F98" s="1">
        <f>COUNTIF(Dataset!D17:D267,'Analysis &amp; Calculation'!A98)</f>
        <v>4</v>
      </c>
      <c r="G98" s="1"/>
      <c r="H98" s="1">
        <f>AVERAGEIF(Dataset!D17:D267,'Analysis &amp; Calculation'!A98,Dataset!N17:N267)</f>
        <v>477.48250000000002</v>
      </c>
      <c r="I98" s="1"/>
      <c r="J98" s="1" t="str">
        <f t="shared" si="0"/>
        <v>Standard Customer</v>
      </c>
    </row>
    <row r="99" spans="1:10">
      <c r="A99" s="1" t="str">
        <v>Virginia Sanders</v>
      </c>
      <c r="B99" s="1"/>
      <c r="C99" s="1"/>
      <c r="D99" s="1">
        <f>SUMIF(Dataset!D18:D268,'Analysis &amp; Calculation'!A99,Dataset!N18:N268)</f>
        <v>4789.7900000000009</v>
      </c>
      <c r="E99" s="1"/>
      <c r="F99" s="1">
        <f>COUNTIF(Dataset!D18:D268,'Analysis &amp; Calculation'!A99)</f>
        <v>6</v>
      </c>
      <c r="G99" s="1"/>
      <c r="H99" s="1">
        <f>AVERAGEIF(Dataset!D18:D268,'Analysis &amp; Calculation'!A99,Dataset!N18:N268)</f>
        <v>798.29833333333352</v>
      </c>
      <c r="I99" s="1"/>
      <c r="J99" s="1" t="str">
        <f t="shared" si="0"/>
        <v>Standard Customer</v>
      </c>
    </row>
    <row r="100" spans="1:10">
      <c r="A100" s="1" t="str">
        <v>Barbara Young</v>
      </c>
      <c r="B100" s="1"/>
      <c r="C100" s="1"/>
      <c r="D100" s="1">
        <f>SUMIF(Dataset!D19:D269,'Analysis &amp; Calculation'!A100,Dataset!N19:N269)</f>
        <v>10649.8</v>
      </c>
      <c r="E100" s="1"/>
      <c r="F100" s="1">
        <f>COUNTIF(Dataset!D19:D269,'Analysis &amp; Calculation'!A100)</f>
        <v>5</v>
      </c>
      <c r="G100" s="1"/>
      <c r="H100" s="1">
        <f>AVERAGEIF(Dataset!D19:D269,'Analysis &amp; Calculation'!A100,Dataset!N19:N269)</f>
        <v>2129.96</v>
      </c>
      <c r="I100" s="1"/>
      <c r="J100" s="1" t="str">
        <f t="shared" si="0"/>
        <v>VIP Customer</v>
      </c>
    </row>
    <row r="101" spans="1:10">
      <c r="A101" s="1" t="str">
        <v>Patricia Moore</v>
      </c>
      <c r="B101" s="1"/>
      <c r="C101" s="1"/>
      <c r="D101" s="1">
        <f>SUMIF(Dataset!D20:D270,'Analysis &amp; Calculation'!A101,Dataset!N20:N270)</f>
        <v>9799.73</v>
      </c>
      <c r="E101" s="1"/>
      <c r="F101" s="1">
        <f>COUNTIF(Dataset!D20:D270,'Analysis &amp; Calculation'!A101)</f>
        <v>8</v>
      </c>
      <c r="G101" s="1"/>
      <c r="H101" s="1">
        <f>AVERAGEIF(Dataset!D20:D270,'Analysis &amp; Calculation'!A101,Dataset!N20:N270)</f>
        <v>1224.9662499999999</v>
      </c>
      <c r="I101" s="1"/>
      <c r="J101" s="1" t="str">
        <f t="shared" si="0"/>
        <v>VIP Customer</v>
      </c>
    </row>
    <row r="102" spans="1:10">
      <c r="A102" s="1" t="str">
        <v>Cynthia Price</v>
      </c>
      <c r="B102" s="1"/>
      <c r="C102" s="1"/>
      <c r="D102" s="1">
        <f>SUMIF(Dataset!D21:D271,'Analysis &amp; Calculation'!A102,Dataset!N21:N271)</f>
        <v>3769.8300000000004</v>
      </c>
      <c r="E102" s="1"/>
      <c r="F102" s="1">
        <f>COUNTIF(Dataset!D21:D271,'Analysis &amp; Calculation'!A102)</f>
        <v>5</v>
      </c>
      <c r="G102" s="1"/>
      <c r="H102" s="1">
        <f>AVERAGEIF(Dataset!D21:D271,'Analysis &amp; Calculation'!A102,Dataset!N21:N271)</f>
        <v>753.96600000000012</v>
      </c>
      <c r="I102" s="1"/>
      <c r="J102" s="1" t="str">
        <f t="shared" si="0"/>
        <v>Standard Customer</v>
      </c>
    </row>
    <row r="103" spans="1:10">
      <c r="A103" s="1" t="str">
        <v>Nancy Collins</v>
      </c>
      <c r="B103" s="1"/>
      <c r="C103" s="1"/>
      <c r="D103" s="1">
        <f>SUMIF(Dataset!D22:D272,'Analysis &amp; Calculation'!A103,Dataset!N22:N272)</f>
        <v>4189.7700000000004</v>
      </c>
      <c r="E103" s="1"/>
      <c r="F103" s="1">
        <f>COUNTIF(Dataset!D22:D272,'Analysis &amp; Calculation'!A103)</f>
        <v>6</v>
      </c>
      <c r="G103" s="1"/>
      <c r="H103" s="1">
        <f>AVERAGEIF(Dataset!D22:D272,'Analysis &amp; Calculation'!A103,Dataset!N22:N272)</f>
        <v>698.29500000000007</v>
      </c>
      <c r="I103" s="1"/>
      <c r="J103" s="1" t="str">
        <f t="shared" si="0"/>
        <v>Standard Customer</v>
      </c>
    </row>
    <row r="104" spans="1:10">
      <c r="A104" s="1" t="str">
        <v>Linda Martin</v>
      </c>
      <c r="B104" s="1"/>
      <c r="C104" s="1"/>
      <c r="D104" s="1">
        <f>SUMIF(Dataset!D23:D273,'Analysis &amp; Calculation'!A104,Dataset!N23:N273)</f>
        <v>1289.9000000000001</v>
      </c>
      <c r="E104" s="1"/>
      <c r="F104" s="1">
        <f>COUNTIF(Dataset!D23:D273,'Analysis &amp; Calculation'!A104)</f>
        <v>4</v>
      </c>
      <c r="G104" s="1"/>
      <c r="H104" s="1">
        <f>AVERAGEIF(Dataset!D23:D273,'Analysis &amp; Calculation'!A104,Dataset!N23:N273)</f>
        <v>322.47500000000002</v>
      </c>
      <c r="I104" s="1"/>
      <c r="J104" s="1" t="str">
        <f t="shared" si="0"/>
        <v>Standard Customer</v>
      </c>
    </row>
    <row r="105" spans="1:10">
      <c r="A105" s="1" t="str">
        <v>Helen Roberts</v>
      </c>
      <c r="B105" s="1"/>
      <c r="C105" s="1"/>
      <c r="D105" s="1">
        <f>SUMIF(Dataset!D24:D274,'Analysis &amp; Calculation'!A105,Dataset!N24:N274)</f>
        <v>6459.79</v>
      </c>
      <c r="E105" s="1"/>
      <c r="F105" s="1">
        <f>COUNTIF(Dataset!D24:D274,'Analysis &amp; Calculation'!A105)</f>
        <v>7</v>
      </c>
      <c r="G105" s="1"/>
      <c r="H105" s="1">
        <f>AVERAGEIF(Dataset!D24:D274,'Analysis &amp; Calculation'!A105,Dataset!N24:N274)</f>
        <v>922.8271428571428</v>
      </c>
      <c r="I105" s="1"/>
      <c r="J105" s="1" t="str">
        <f t="shared" si="0"/>
        <v>VIP Customer</v>
      </c>
    </row>
    <row r="106" spans="1:10">
      <c r="A106" s="1" t="str">
        <v>Edward Mitchell</v>
      </c>
      <c r="B106" s="1"/>
      <c r="C106" s="1"/>
      <c r="D106" s="1">
        <f>SUMIF(Dataset!D25:D275,'Analysis &amp; Calculation'!A106,Dataset!N25:N275)</f>
        <v>11919.769999999999</v>
      </c>
      <c r="E106" s="1"/>
      <c r="F106" s="1">
        <f>COUNTIF(Dataset!D25:D275,'Analysis &amp; Calculation'!A106)</f>
        <v>6</v>
      </c>
      <c r="G106" s="1"/>
      <c r="H106" s="1">
        <f>AVERAGEIF(Dataset!D25:D275,'Analysis &amp; Calculation'!A106,Dataset!N25:N275)</f>
        <v>1986.6283333333331</v>
      </c>
      <c r="I106" s="1"/>
      <c r="J106" s="1" t="str">
        <f t="shared" si="0"/>
        <v>VIP Customer</v>
      </c>
    </row>
    <row r="107" spans="1:10">
      <c r="A107" s="1" t="str">
        <v>Lisa Anderson</v>
      </c>
      <c r="B107" s="1"/>
      <c r="C107" s="1"/>
      <c r="D107" s="1">
        <f>SUMIF(Dataset!D26:D276,'Analysis &amp; Calculation'!A107,Dataset!N26:N276)</f>
        <v>2039.8000000000002</v>
      </c>
      <c r="E107" s="1"/>
      <c r="F107" s="1">
        <f>COUNTIF(Dataset!D26:D276,'Analysis &amp; Calculation'!A107)</f>
        <v>5</v>
      </c>
      <c r="G107" s="1"/>
      <c r="H107" s="1">
        <f>AVERAGEIF(Dataset!D26:D276,'Analysis &amp; Calculation'!A107,Dataset!N26:N276)</f>
        <v>407.96000000000004</v>
      </c>
      <c r="I107" s="1"/>
      <c r="J107" s="1" t="str">
        <f t="shared" si="0"/>
        <v>Standard Customer</v>
      </c>
    </row>
    <row r="108" spans="1:10">
      <c r="A108" s="1" t="str">
        <v>Emma Wilson</v>
      </c>
      <c r="B108" s="1"/>
      <c r="C108" s="1"/>
      <c r="D108" s="1">
        <f>SUMIF(Dataset!D27:D277,'Analysis &amp; Calculation'!A108,Dataset!N27:N277)</f>
        <v>1229.8800000000001</v>
      </c>
      <c r="E108" s="1"/>
      <c r="F108" s="1">
        <f>COUNTIF(Dataset!D27:D277,'Analysis &amp; Calculation'!A108)</f>
        <v>5</v>
      </c>
      <c r="G108" s="1"/>
      <c r="H108" s="1">
        <f>AVERAGEIF(Dataset!D27:D277,'Analysis &amp; Calculation'!A108,Dataset!N27:N277)</f>
        <v>245.97600000000003</v>
      </c>
      <c r="I108" s="1"/>
      <c r="J108" s="1" t="str">
        <f t="shared" si="0"/>
        <v>Standard Customer</v>
      </c>
    </row>
    <row r="109" spans="1:10">
      <c r="A109" s="1" t="str">
        <v>Steven Turner</v>
      </c>
      <c r="B109" s="1"/>
      <c r="C109" s="1"/>
      <c r="D109" s="1">
        <f>SUMIF(Dataset!D28:D278,'Analysis &amp; Calculation'!A109,Dataset!N28:N278)</f>
        <v>2649.83</v>
      </c>
      <c r="E109" s="1"/>
      <c r="F109" s="1">
        <f>COUNTIF(Dataset!D28:D278,'Analysis &amp; Calculation'!A109)</f>
        <v>6</v>
      </c>
      <c r="G109" s="1"/>
      <c r="H109" s="1">
        <f>AVERAGEIF(Dataset!D28:D278,'Analysis &amp; Calculation'!A109,Dataset!N28:N278)</f>
        <v>441.63833333333332</v>
      </c>
      <c r="I109" s="1"/>
      <c r="J109" s="1" t="str">
        <f t="shared" si="0"/>
        <v>Standard Customer</v>
      </c>
    </row>
    <row r="110" spans="1:10">
      <c r="A110" s="1" t="str">
        <v>Jennifer Taylor</v>
      </c>
      <c r="B110" s="1"/>
      <c r="C110" s="1"/>
      <c r="D110" s="1">
        <f>SUMIF(Dataset!D29:D279,'Analysis &amp; Calculation'!A110,Dataset!N29:N279)</f>
        <v>4739.8500000000004</v>
      </c>
      <c r="E110" s="1"/>
      <c r="F110" s="1">
        <f>COUNTIF(Dataset!D29:D279,'Analysis &amp; Calculation'!A110)</f>
        <v>4</v>
      </c>
      <c r="G110" s="1"/>
      <c r="H110" s="1">
        <f>AVERAGEIF(Dataset!D29:D279,'Analysis &amp; Calculation'!A110,Dataset!N29:N279)</f>
        <v>1184.9625000000001</v>
      </c>
      <c r="I110" s="1"/>
      <c r="J110" s="1" t="str">
        <f t="shared" si="0"/>
        <v>Standard Customer</v>
      </c>
    </row>
    <row r="111" spans="1:10">
      <c r="A111" s="1" t="str">
        <v>Harry Morgan</v>
      </c>
      <c r="B111" s="1"/>
      <c r="C111" s="1"/>
      <c r="D111" s="1">
        <f>SUMIF(Dataset!D30:D280,'Analysis &amp; Calculation'!A111,Dataset!N30:N280)</f>
        <v>5519.8899999999994</v>
      </c>
      <c r="E111" s="1"/>
      <c r="F111" s="1">
        <f>COUNTIF(Dataset!D30:D280,'Analysis &amp; Calculation'!A111)</f>
        <v>4</v>
      </c>
      <c r="G111" s="1"/>
      <c r="H111" s="1">
        <f>AVERAGEIF(Dataset!D30:D280,'Analysis &amp; Calculation'!A111,Dataset!N30:N280)</f>
        <v>1379.9724999999999</v>
      </c>
      <c r="I111" s="1"/>
      <c r="J111" s="1" t="str">
        <f t="shared" si="0"/>
        <v>VIP Customer</v>
      </c>
    </row>
    <row r="112" spans="1:10">
      <c r="A112" s="1" t="str">
        <v>Daniel King</v>
      </c>
      <c r="B112" s="1"/>
      <c r="C112" s="1"/>
      <c r="D112" s="1">
        <f>SUMIF(Dataset!D31:D281,'Analysis &amp; Calculation'!A112,Dataset!N31:N281)</f>
        <v>7309.7999999999993</v>
      </c>
      <c r="E112" s="1"/>
      <c r="F112" s="1">
        <f>COUNTIF(Dataset!D31:D281,'Analysis &amp; Calculation'!A112)</f>
        <v>7</v>
      </c>
      <c r="G112" s="1"/>
      <c r="H112" s="1">
        <f>AVERAGEIF(Dataset!D31:D281,'Analysis &amp; Calculation'!A112,Dataset!N31:N281)</f>
        <v>1044.2571428571428</v>
      </c>
      <c r="I112" s="1"/>
      <c r="J112" s="1" t="str">
        <f t="shared" si="0"/>
        <v>VIP Customer</v>
      </c>
    </row>
    <row r="113" spans="1:10">
      <c r="A113" s="1" t="str">
        <v>Sharon Butler</v>
      </c>
      <c r="B113" s="1"/>
      <c r="C113" s="1"/>
      <c r="D113" s="1">
        <f>SUMIF(Dataset!D32:D282,'Analysis &amp; Calculation'!A113,Dataset!N32:N282)</f>
        <v>5619.869999999999</v>
      </c>
      <c r="E113" s="1"/>
      <c r="F113" s="1">
        <f>COUNTIF(Dataset!D32:D282,'Analysis &amp; Calculation'!A113)</f>
        <v>6</v>
      </c>
      <c r="G113" s="1"/>
      <c r="H113" s="1">
        <f>AVERAGEIF(Dataset!D32:D282,'Analysis &amp; Calculation'!A113,Dataset!N32:N282)</f>
        <v>936.64499999999987</v>
      </c>
      <c r="I113" s="1"/>
      <c r="J113" s="1" t="str">
        <f t="shared" si="0"/>
        <v>VIP Customer</v>
      </c>
    </row>
    <row r="114" spans="1:10">
      <c r="A114" s="1" t="str">
        <v>Sarah Davis</v>
      </c>
      <c r="B114" s="1"/>
      <c r="C114" s="1"/>
      <c r="D114" s="1">
        <f>SUMIF(Dataset!D33:D283,'Analysis &amp; Calculation'!A114,Dataset!N33:N283)</f>
        <v>5499.8099999999995</v>
      </c>
      <c r="E114" s="1"/>
      <c r="F114" s="1">
        <f>COUNTIF(Dataset!D33:D283,'Analysis &amp; Calculation'!A114)</f>
        <v>5</v>
      </c>
      <c r="G114" s="1"/>
      <c r="H114" s="1">
        <f>AVERAGEIF(Dataset!D33:D283,'Analysis &amp; Calculation'!A114,Dataset!N33:N283)</f>
        <v>1099.962</v>
      </c>
      <c r="I114" s="1"/>
      <c r="J114" s="1" t="str">
        <f t="shared" si="0"/>
        <v>VIP Customer</v>
      </c>
    </row>
    <row r="115" spans="1:10">
      <c r="A115" s="1" t="str">
        <v>Betty Campbell</v>
      </c>
      <c r="B115" s="1"/>
      <c r="C115" s="1"/>
      <c r="D115" s="1">
        <f>SUMIF(Dataset!D34:D284,'Analysis &amp; Calculation'!A115,Dataset!N34:N284)</f>
        <v>5649.84</v>
      </c>
      <c r="E115" s="1"/>
      <c r="F115" s="1">
        <f>COUNTIF(Dataset!D34:D284,'Analysis &amp; Calculation'!A115)</f>
        <v>5</v>
      </c>
      <c r="G115" s="1"/>
      <c r="H115" s="1">
        <f>AVERAGEIF(Dataset!D34:D284,'Analysis &amp; Calculation'!A115,Dataset!N34:N284)</f>
        <v>1129.9680000000001</v>
      </c>
      <c r="I115" s="1"/>
      <c r="J115" s="1" t="str">
        <f t="shared" si="0"/>
        <v>VIP Customer</v>
      </c>
    </row>
    <row r="116" spans="1:10">
      <c r="A116" s="1" t="str">
        <v>Julie Foster</v>
      </c>
      <c r="B116" s="1"/>
      <c r="C116" s="1"/>
      <c r="D116" s="1">
        <f>SUMIF(Dataset!D35:D285,'Analysis &amp; Calculation'!A116,Dataset!N35:N285)</f>
        <v>239.96</v>
      </c>
      <c r="E116" s="1"/>
      <c r="F116" s="1">
        <f>COUNTIF(Dataset!D35:D285,'Analysis &amp; Calculation'!A116)</f>
        <v>1</v>
      </c>
      <c r="G116" s="1"/>
      <c r="H116" s="1">
        <f>AVERAGEIF(Dataset!D35:D285,'Analysis &amp; Calculation'!A116,Dataset!N35:N285)</f>
        <v>239.96</v>
      </c>
      <c r="I116" s="1"/>
      <c r="J116" s="1" t="str">
        <f t="shared" si="0"/>
        <v>Standard Customer</v>
      </c>
    </row>
    <row r="117" spans="1:10">
      <c r="A117" s="1" t="str">
        <v>Raymond Ross</v>
      </c>
      <c r="B117" s="1"/>
      <c r="C117" s="1"/>
      <c r="D117" s="1">
        <f>SUMIF(Dataset!D36:D286,'Analysis &amp; Calculation'!A117,Dataset!N36:N286)</f>
        <v>3669.8500000000004</v>
      </c>
      <c r="E117" s="1"/>
      <c r="F117" s="1">
        <f>COUNTIF(Dataset!D36:D286,'Analysis &amp; Calculation'!A117)</f>
        <v>4</v>
      </c>
      <c r="G117" s="1"/>
      <c r="H117" s="1">
        <f>AVERAGEIF(Dataset!D36:D286,'Analysis &amp; Calculation'!A117,Dataset!N36:N286)</f>
        <v>917.46250000000009</v>
      </c>
      <c r="I117" s="1"/>
      <c r="J117" s="1" t="str">
        <f t="shared" si="0"/>
        <v>Standard Customer</v>
      </c>
    </row>
    <row r="118" spans="1:10">
      <c r="A118" s="1" t="str">
        <v>David Martinez</v>
      </c>
      <c r="B118" s="1"/>
      <c r="C118" s="1"/>
      <c r="D118" s="1">
        <f>SUMIF(Dataset!D37:D287,'Analysis &amp; Calculation'!A118,Dataset!N37:N287)</f>
        <v>1809.84</v>
      </c>
      <c r="E118" s="1"/>
      <c r="F118" s="1">
        <f>COUNTIF(Dataset!D37:D287,'Analysis &amp; Calculation'!A118)</f>
        <v>6</v>
      </c>
      <c r="G118" s="1"/>
      <c r="H118" s="1">
        <f>AVERAGEIF(Dataset!D37:D287,'Analysis &amp; Calculation'!A118,Dataset!N37:N287)</f>
        <v>301.64</v>
      </c>
      <c r="I118" s="1"/>
      <c r="J118" s="1" t="str">
        <f t="shared" si="0"/>
        <v>Standard Customer</v>
      </c>
    </row>
    <row r="119" spans="1:10">
      <c r="A119" s="1" t="str">
        <v>Margaret Wright</v>
      </c>
      <c r="B119" s="1"/>
      <c r="C119" s="1"/>
      <c r="D119" s="1">
        <f>SUMIF(Dataset!D38:D288,'Analysis &amp; Calculation'!A119,Dataset!N38:N288)</f>
        <v>2099.88</v>
      </c>
      <c r="E119" s="1"/>
      <c r="F119" s="1">
        <f>COUNTIF(Dataset!D38:D288,'Analysis &amp; Calculation'!A119)</f>
        <v>4</v>
      </c>
      <c r="G119" s="1"/>
      <c r="H119" s="1">
        <f>AVERAGEIF(Dataset!D38:D288,'Analysis &amp; Calculation'!A119,Dataset!N38:N288)</f>
        <v>524.97</v>
      </c>
      <c r="I119" s="1"/>
      <c r="J119" s="1" t="str">
        <f t="shared" si="0"/>
        <v>Standard Customer</v>
      </c>
    </row>
    <row r="120" spans="1:10">
      <c r="A120" s="1" t="str">
        <v>Frank Torres</v>
      </c>
      <c r="B120" s="1"/>
      <c r="C120" s="1"/>
      <c r="D120" s="1">
        <f>SUMIF(Dataset!D39:D289,'Analysis &amp; Calculation'!A120,Dataset!N39:N289)</f>
        <v>1479.91</v>
      </c>
      <c r="E120" s="1"/>
      <c r="F120" s="1">
        <f>COUNTIF(Dataset!D39:D289,'Analysis &amp; Calculation'!A120)</f>
        <v>5</v>
      </c>
      <c r="G120" s="1"/>
      <c r="H120" s="1">
        <f>AVERAGEIF(Dataset!D39:D289,'Analysis &amp; Calculation'!A120,Dataset!N39:N289)</f>
        <v>295.98200000000003</v>
      </c>
      <c r="I120" s="1"/>
      <c r="J120" s="1" t="str">
        <f t="shared" si="0"/>
        <v>Standard Customer</v>
      </c>
    </row>
    <row r="121" spans="1:10">
      <c r="A121" s="1" t="str">
        <v>Gerald Murphy</v>
      </c>
      <c r="B121" s="1"/>
      <c r="C121" s="1"/>
      <c r="D121" s="1">
        <f>SUMIF(Dataset!D40:D290,'Analysis &amp; Calculation'!A121,Dataset!N40:N290)</f>
        <v>6379.87</v>
      </c>
      <c r="E121" s="1"/>
      <c r="F121" s="1">
        <f>COUNTIF(Dataset!D40:D290,'Analysis &amp; Calculation'!A121)</f>
        <v>4</v>
      </c>
      <c r="G121" s="1"/>
      <c r="H121" s="1">
        <f>AVERAGEIF(Dataset!D40:D290,'Analysis &amp; Calculation'!A121,Dataset!N40:N290)</f>
        <v>1594.9675</v>
      </c>
      <c r="I121" s="1"/>
      <c r="J121" s="1" t="str">
        <f t="shared" si="0"/>
        <v>VIP Customer</v>
      </c>
    </row>
    <row r="122" spans="1:10">
      <c r="A122" s="1" t="str">
        <v>Elizabeth Hall</v>
      </c>
      <c r="B122" s="1"/>
      <c r="C122" s="1"/>
      <c r="D122" s="1">
        <f>SUMIF(Dataset!D41:D291,'Analysis &amp; Calculation'!A122,Dataset!N41:N291)</f>
        <v>3649.8599999999997</v>
      </c>
      <c r="E122" s="1"/>
      <c r="F122" s="1">
        <f>COUNTIF(Dataset!D41:D291,'Analysis &amp; Calculation'!A122)</f>
        <v>4</v>
      </c>
      <c r="G122" s="1"/>
      <c r="H122" s="1">
        <f>AVERAGEIF(Dataset!D41:D291,'Analysis &amp; Calculation'!A122,Dataset!N41:N291)</f>
        <v>912.46499999999992</v>
      </c>
      <c r="I122" s="1"/>
      <c r="J122" s="1" t="str">
        <f t="shared" si="0"/>
        <v>Standard Customer</v>
      </c>
    </row>
    <row r="123" spans="1:10">
      <c r="A123" s="1" t="str">
        <v>Lawrence Reed</v>
      </c>
      <c r="B123" s="1"/>
      <c r="C123" s="1"/>
      <c r="D123" s="1">
        <f>SUMIF(Dataset!D42:D292,'Analysis &amp; Calculation'!A123,Dataset!N42:N292)</f>
        <v>6989.7699999999986</v>
      </c>
      <c r="E123" s="1"/>
      <c r="F123" s="1">
        <f>COUNTIF(Dataset!D42:D292,'Analysis &amp; Calculation'!A123)</f>
        <v>8</v>
      </c>
      <c r="G123" s="1"/>
      <c r="H123" s="1">
        <f>AVERAGEIF(Dataset!D42:D292,'Analysis &amp; Calculation'!A123,Dataset!N42:N292)</f>
        <v>873.72124999999983</v>
      </c>
      <c r="I123" s="1"/>
      <c r="J123" s="1" t="str">
        <f t="shared" si="0"/>
        <v>VIP Customer</v>
      </c>
    </row>
    <row r="124" spans="1:10">
      <c r="A124" s="1" t="str">
        <v>Carol Evans</v>
      </c>
      <c r="B124" s="1"/>
      <c r="C124" s="1"/>
      <c r="D124" s="1">
        <f>SUMIF(Dataset!D43:D293,'Analysis &amp; Calculation'!A124,Dataset!N43:N293)</f>
        <v>1149.93</v>
      </c>
      <c r="E124" s="1"/>
      <c r="F124" s="1">
        <f>COUNTIF(Dataset!D43:D293,'Analysis &amp; Calculation'!A124)</f>
        <v>3</v>
      </c>
      <c r="G124" s="1"/>
      <c r="H124" s="1">
        <f>AVERAGEIF(Dataset!D43:D293,'Analysis &amp; Calculation'!A124,Dataset!N43:N293)</f>
        <v>383.31</v>
      </c>
      <c r="I124" s="1"/>
      <c r="J124" s="1" t="str">
        <f t="shared" si="0"/>
        <v>Standard Customer</v>
      </c>
    </row>
    <row r="125" spans="1:10">
      <c r="A125" s="1" t="str">
        <v>Sandra Phillips</v>
      </c>
      <c r="B125" s="1"/>
      <c r="C125" s="1"/>
      <c r="D125" s="1">
        <f>SUMIF(Dataset!D44:D294,'Analysis &amp; Calculation'!A125,Dataset!N44:N294)</f>
        <v>6349.83</v>
      </c>
      <c r="E125" s="1"/>
      <c r="F125" s="1">
        <f>COUNTIF(Dataset!D44:D294,'Analysis &amp; Calculation'!A125)</f>
        <v>5</v>
      </c>
      <c r="G125" s="1"/>
      <c r="H125" s="1">
        <f>AVERAGEIF(Dataset!D44:D294,'Analysis &amp; Calculation'!A125,Dataset!N44:N294)</f>
        <v>1269.9659999999999</v>
      </c>
      <c r="I125" s="1"/>
      <c r="J125" s="1" t="str">
        <f t="shared" si="0"/>
        <v>VIP Customer</v>
      </c>
    </row>
    <row r="126" spans="1:10">
      <c r="A126" s="1" t="str">
        <v>Ruth Brooks</v>
      </c>
      <c r="B126" s="1"/>
      <c r="C126" s="1"/>
      <c r="D126" s="1">
        <f>SUMIF(Dataset!D45:D295,'Analysis &amp; Calculation'!A126,Dataset!N45:N295)</f>
        <v>1749.92</v>
      </c>
      <c r="E126" s="1"/>
      <c r="F126" s="1">
        <f>COUNTIF(Dataset!D45:D295,'Analysis &amp; Calculation'!A126)</f>
        <v>3</v>
      </c>
      <c r="G126" s="1"/>
      <c r="H126" s="1">
        <f>AVERAGEIF(Dataset!D45:D295,'Analysis &amp; Calculation'!A126,Dataset!N45:N295)</f>
        <v>583.30666666666673</v>
      </c>
      <c r="I126" s="1"/>
      <c r="J126" s="1" t="str">
        <f t="shared" si="0"/>
        <v>Standard Customer</v>
      </c>
    </row>
    <row r="127" spans="1:10">
      <c r="A127" s="1" t="str">
        <v>William White</v>
      </c>
      <c r="B127" s="1"/>
      <c r="C127" s="1"/>
      <c r="D127" s="1">
        <f>SUMIF(Dataset!D46:D296,'Analysis &amp; Calculation'!A127,Dataset!N46:N296)</f>
        <v>4749.91</v>
      </c>
      <c r="E127" s="1"/>
      <c r="F127" s="1">
        <f>COUNTIF(Dataset!D46:D296,'Analysis &amp; Calculation'!A127)</f>
        <v>3</v>
      </c>
      <c r="G127" s="1"/>
      <c r="H127" s="1">
        <f>AVERAGEIF(Dataset!D46:D296,'Analysis &amp; Calculation'!A127,Dataset!N46:N296)</f>
        <v>1583.3033333333333</v>
      </c>
      <c r="I127" s="1"/>
      <c r="J127" s="1" t="str">
        <f t="shared" si="0"/>
        <v>Standard Customer</v>
      </c>
    </row>
    <row r="128" spans="1:10">
      <c r="A128" s="1" t="str">
        <v>Richard Lee</v>
      </c>
      <c r="B128" s="1"/>
      <c r="C128" s="1"/>
      <c r="D128" s="1">
        <f>SUMIF(Dataset!D47:D297,'Analysis &amp; Calculation'!A128,Dataset!N47:N297)</f>
        <v>739.93000000000006</v>
      </c>
      <c r="E128" s="1"/>
      <c r="F128" s="1">
        <f>COUNTIF(Dataset!D47:D297,'Analysis &amp; Calculation'!A128)</f>
        <v>3</v>
      </c>
      <c r="G128" s="1"/>
      <c r="H128" s="1">
        <f>AVERAGEIF(Dataset!D47:D297,'Analysis &amp; Calculation'!A128,Dataset!N47:N297)</f>
        <v>246.64333333333335</v>
      </c>
      <c r="I128" s="1"/>
      <c r="J128" s="1" t="str">
        <f t="shared" si="0"/>
        <v>Standard Customer</v>
      </c>
    </row>
    <row r="129" spans="1:10">
      <c r="A129" s="1" t="str">
        <v>Douglas Watson</v>
      </c>
      <c r="B129" s="1"/>
      <c r="C129" s="1"/>
      <c r="D129" s="1">
        <f>SUMIF(Dataset!D48:D298,'Analysis &amp; Calculation'!A129,Dataset!N48:N298)</f>
        <v>4829.8899999999994</v>
      </c>
      <c r="E129" s="1"/>
      <c r="F129" s="1">
        <f>COUNTIF(Dataset!D48:D298,'Analysis &amp; Calculation'!A129)</f>
        <v>4</v>
      </c>
      <c r="G129" s="1"/>
      <c r="H129" s="1">
        <f>AVERAGEIF(Dataset!D48:D298,'Analysis &amp; Calculation'!A129,Dataset!N48:N298)</f>
        <v>1207.4724999999999</v>
      </c>
      <c r="I129" s="1"/>
      <c r="J129" s="1" t="str">
        <f t="shared" si="0"/>
        <v>Standard Customer</v>
      </c>
    </row>
    <row r="130" spans="1:10">
      <c r="A130" s="1" t="str">
        <v>James Johnson</v>
      </c>
      <c r="B130" s="1"/>
      <c r="C130" s="1"/>
      <c r="D130" s="1">
        <f>SUMIF(Dataset!D49:D299,'Analysis &amp; Calculation'!A130,Dataset!N49:N299)</f>
        <v>179.97</v>
      </c>
      <c r="E130" s="1"/>
      <c r="F130" s="1">
        <f>COUNTIF(Dataset!D49:D299,'Analysis &amp; Calculation'!A130)</f>
        <v>1</v>
      </c>
      <c r="G130" s="1"/>
      <c r="H130" s="1">
        <f>AVERAGEIF(Dataset!D49:D299,'Analysis &amp; Calculation'!A130,Dataset!N49:N299)</f>
        <v>179.97</v>
      </c>
      <c r="I130" s="1"/>
      <c r="J130" s="1" t="str">
        <f t="shared" si="0"/>
        <v>Standard Customer</v>
      </c>
    </row>
    <row r="131" spans="1:10">
      <c r="A131" s="1" t="str">
        <v>Arthur Edwards</v>
      </c>
      <c r="B131" s="1"/>
      <c r="C131" s="1"/>
      <c r="D131" s="1">
        <f>SUMIF(Dataset!D50:D300,'Analysis &amp; Calculation'!A131,Dataset!N50:N300)</f>
        <v>1559.94</v>
      </c>
      <c r="E131" s="1"/>
      <c r="F131" s="1">
        <f>COUNTIF(Dataset!D50:D300,'Analysis &amp; Calculation'!A131)</f>
        <v>3</v>
      </c>
      <c r="G131" s="1"/>
      <c r="H131" s="1">
        <f>AVERAGEIF(Dataset!D50:D300,'Analysis &amp; Calculation'!A131,Dataset!N50:N300)</f>
        <v>519.98</v>
      </c>
      <c r="I131" s="1"/>
      <c r="J131" s="1" t="str">
        <f t="shared" si="0"/>
        <v>Standard Customer</v>
      </c>
    </row>
    <row r="132" spans="1:10">
      <c r="A132" s="1" t="str">
        <v>John Smith</v>
      </c>
      <c r="B132" s="1"/>
      <c r="C132" s="1"/>
      <c r="D132" s="1">
        <f>SUMIF(Dataset!D51:D301,'Analysis &amp; Calculation'!A132,Dataset!N51:N301)</f>
        <v>599.96</v>
      </c>
      <c r="E132" s="1"/>
      <c r="F132" s="1">
        <f>COUNTIF(Dataset!D51:D301,'Analysis &amp; Calculation'!A132)</f>
        <v>1</v>
      </c>
      <c r="G132" s="1"/>
      <c r="H132" s="1">
        <f>AVERAGEIF(Dataset!D51:D301,'Analysis &amp; Calculation'!A132,Dataset!N51:N301)</f>
        <v>599.96</v>
      </c>
      <c r="I132" s="1"/>
      <c r="J132" s="1" t="str">
        <f t="shared" si="0"/>
        <v>Standard Customer</v>
      </c>
    </row>
    <row r="133" spans="1:10">
      <c r="A133">
        <v>0</v>
      </c>
    </row>
  </sheetData>
  <mergeCells count="4">
    <mergeCell ref="A1:N1"/>
    <mergeCell ref="P1:AC1"/>
    <mergeCell ref="AE1:AR1"/>
    <mergeCell ref="AT1:BG1"/>
  </mergeCells>
  <conditionalFormatting sqref="L2">
    <cfRule type="containsText" dxfId="7" priority="8" operator="containsText" text="Premium">
      <formula>NOT(ISERROR(SEARCH("Premium",L2)))</formula>
    </cfRule>
  </conditionalFormatting>
  <conditionalFormatting sqref="N2">
    <cfRule type="cellIs" dxfId="6" priority="7" operator="greaterThan">
      <formula>3000</formula>
    </cfRule>
  </conditionalFormatting>
  <conditionalFormatting sqref="AA2">
    <cfRule type="containsText" dxfId="5" priority="6" operator="containsText" text="Premium">
      <formula>NOT(ISERROR(SEARCH("Premium",AA2)))</formula>
    </cfRule>
  </conditionalFormatting>
  <conditionalFormatting sqref="AC2">
    <cfRule type="cellIs" dxfId="4" priority="5" operator="greaterThan">
      <formula>3000</formula>
    </cfRule>
  </conditionalFormatting>
  <conditionalFormatting sqref="AP2">
    <cfRule type="containsText" dxfId="3" priority="4" operator="containsText" text="Premium">
      <formula>NOT(ISERROR(SEARCH("Premium",AP2)))</formula>
    </cfRule>
  </conditionalFormatting>
  <conditionalFormatting sqref="AR2">
    <cfRule type="cellIs" dxfId="2" priority="3" operator="greaterThan">
      <formula>3000</formula>
    </cfRule>
  </conditionalFormatting>
  <conditionalFormatting sqref="BE2">
    <cfRule type="containsText" dxfId="1" priority="2" operator="containsText" text="Premium">
      <formula>NOT(ISERROR(SEARCH("Premium",BE2)))</formula>
    </cfRule>
  </conditionalFormatting>
  <conditionalFormatting sqref="BG2">
    <cfRule type="cellIs" dxfId="0" priority="1" operator="greaterThan">
      <formula>3000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7675B-BC3B-4458-B701-F576549B20CC}">
  <dimension ref="A2:Z114"/>
  <sheetViews>
    <sheetView tabSelected="1" workbookViewId="0">
      <selection sqref="A1:XFD1048576"/>
    </sheetView>
  </sheetViews>
  <sheetFormatPr defaultRowHeight="15"/>
  <cols>
    <col min="1" max="1" width="12.5703125" style="8" bestFit="1" customWidth="1"/>
    <col min="2" max="2" width="21.140625" style="8" bestFit="1" customWidth="1"/>
    <col min="3" max="3" width="12.28515625" style="8" bestFit="1" customWidth="1"/>
    <col min="4" max="4" width="21" style="8" bestFit="1" customWidth="1"/>
    <col min="5" max="5" width="9.140625" style="8"/>
    <col min="6" max="6" width="12.28515625" style="8" bestFit="1" customWidth="1"/>
    <col min="7" max="7" width="17.7109375" style="8" bestFit="1" customWidth="1"/>
    <col min="8" max="9" width="12.28515625" style="8" bestFit="1" customWidth="1"/>
    <col min="10" max="10" width="21" style="8" bestFit="1" customWidth="1"/>
    <col min="11" max="11" width="20.7109375" style="8" bestFit="1" customWidth="1"/>
    <col min="12" max="12" width="12.28515625" style="8" bestFit="1" customWidth="1"/>
    <col min="13" max="13" width="21" style="8" bestFit="1" customWidth="1"/>
    <col min="14" max="15" width="9.140625" style="8"/>
    <col min="16" max="16" width="12.5703125" style="8" bestFit="1" customWidth="1"/>
    <col min="17" max="17" width="20.7109375" style="8" bestFit="1" customWidth="1"/>
    <col min="18" max="18" width="12.28515625" style="8" bestFit="1" customWidth="1"/>
    <col min="19" max="19" width="21" style="8" bestFit="1" customWidth="1"/>
    <col min="20" max="22" width="9.140625" style="8"/>
    <col min="23" max="23" width="18.5703125" style="8" bestFit="1" customWidth="1"/>
    <col min="24" max="24" width="12.5703125" style="8" bestFit="1" customWidth="1"/>
    <col min="25" max="25" width="12.28515625" style="8" bestFit="1" customWidth="1"/>
    <col min="26" max="26" width="21" style="8" bestFit="1" customWidth="1"/>
    <col min="27" max="16384" width="9.140625" style="8"/>
  </cols>
  <sheetData>
    <row r="2" spans="1:26">
      <c r="A2" s="19" t="s">
        <v>414</v>
      </c>
      <c r="B2" s="19"/>
      <c r="F2" s="19" t="s">
        <v>415</v>
      </c>
      <c r="G2" s="19"/>
      <c r="K2" s="19" t="s">
        <v>416</v>
      </c>
      <c r="L2" s="19"/>
      <c r="M2" s="19"/>
      <c r="P2" s="19" t="s">
        <v>417</v>
      </c>
      <c r="Q2" s="19"/>
      <c r="R2" s="19"/>
      <c r="S2" s="19"/>
      <c r="W2" s="19" t="s">
        <v>418</v>
      </c>
      <c r="X2" s="19"/>
      <c r="Y2" s="19"/>
      <c r="Z2" s="19"/>
    </row>
    <row r="3" spans="1:26">
      <c r="A3" s="20" t="s">
        <v>6</v>
      </c>
      <c r="B3" s="8" t="s">
        <v>419</v>
      </c>
      <c r="F3" s="20" t="s">
        <v>6</v>
      </c>
      <c r="G3" s="8" t="s">
        <v>420</v>
      </c>
      <c r="K3" s="20" t="s">
        <v>9</v>
      </c>
      <c r="L3" s="20" t="s">
        <v>6</v>
      </c>
      <c r="M3" s="8" t="s">
        <v>421</v>
      </c>
      <c r="P3" s="20" t="s">
        <v>10</v>
      </c>
      <c r="Q3" s="20" t="s">
        <v>9</v>
      </c>
      <c r="R3" s="20" t="s">
        <v>6</v>
      </c>
      <c r="S3" s="8" t="s">
        <v>421</v>
      </c>
      <c r="W3" s="20" t="s">
        <v>5</v>
      </c>
      <c r="X3" s="20" t="s">
        <v>10</v>
      </c>
      <c r="Y3" s="20" t="s">
        <v>6</v>
      </c>
      <c r="Z3" s="8" t="s">
        <v>421</v>
      </c>
    </row>
    <row r="4" spans="1:26">
      <c r="A4" s="8" t="s">
        <v>39</v>
      </c>
      <c r="B4" s="21">
        <v>43</v>
      </c>
      <c r="F4" s="8" t="s">
        <v>39</v>
      </c>
      <c r="G4" s="21">
        <v>126</v>
      </c>
      <c r="K4" s="8" t="s">
        <v>26</v>
      </c>
      <c r="L4" s="8" t="s">
        <v>39</v>
      </c>
      <c r="M4" s="22">
        <v>3239.5099999999993</v>
      </c>
      <c r="P4" s="8" t="s">
        <v>27</v>
      </c>
      <c r="Q4" s="8" t="s">
        <v>26</v>
      </c>
      <c r="R4" s="8" t="s">
        <v>39</v>
      </c>
      <c r="S4" s="22">
        <v>419.94</v>
      </c>
      <c r="W4" s="8" t="s">
        <v>38</v>
      </c>
      <c r="X4" s="8" t="s">
        <v>27</v>
      </c>
      <c r="Y4" s="8" t="s">
        <v>39</v>
      </c>
      <c r="Z4" s="22">
        <v>959.83999999999992</v>
      </c>
    </row>
    <row r="5" spans="1:26">
      <c r="A5" s="8" t="s">
        <v>25</v>
      </c>
      <c r="B5" s="21">
        <v>131</v>
      </c>
      <c r="F5" s="8" t="s">
        <v>25</v>
      </c>
      <c r="G5" s="21">
        <v>395</v>
      </c>
      <c r="L5" s="8" t="s">
        <v>25</v>
      </c>
      <c r="M5" s="22">
        <v>35889.14</v>
      </c>
      <c r="R5" s="8" t="s">
        <v>25</v>
      </c>
      <c r="S5" s="22">
        <v>8299.7900000000009</v>
      </c>
      <c r="X5" s="8" t="s">
        <v>422</v>
      </c>
      <c r="Z5" s="22">
        <v>959.83999999999992</v>
      </c>
    </row>
    <row r="6" spans="1:26">
      <c r="A6" s="8" t="s">
        <v>52</v>
      </c>
      <c r="B6" s="21">
        <v>76</v>
      </c>
      <c r="F6" s="8" t="s">
        <v>52</v>
      </c>
      <c r="G6" s="21">
        <v>232</v>
      </c>
      <c r="L6" s="8" t="s">
        <v>52</v>
      </c>
      <c r="M6" s="22">
        <v>18299.139999999996</v>
      </c>
      <c r="R6" s="8" t="s">
        <v>52</v>
      </c>
      <c r="S6" s="22">
        <v>5199.7400000000007</v>
      </c>
      <c r="X6" s="8" t="s">
        <v>69</v>
      </c>
      <c r="Y6" s="8" t="s">
        <v>39</v>
      </c>
      <c r="Z6" s="22">
        <v>1199.8</v>
      </c>
    </row>
    <row r="7" spans="1:26">
      <c r="A7" s="8" t="s">
        <v>423</v>
      </c>
      <c r="B7" s="21">
        <v>250</v>
      </c>
      <c r="F7" s="8" t="s">
        <v>423</v>
      </c>
      <c r="G7" s="21">
        <v>753</v>
      </c>
      <c r="K7" s="8" t="s">
        <v>424</v>
      </c>
      <c r="M7" s="22">
        <v>57427.789999999994</v>
      </c>
      <c r="Q7" s="8" t="s">
        <v>424</v>
      </c>
      <c r="S7" s="22">
        <v>13919.470000000001</v>
      </c>
      <c r="X7" s="8" t="s">
        <v>425</v>
      </c>
      <c r="Z7" s="22">
        <v>1199.8</v>
      </c>
    </row>
    <row r="8" spans="1:26">
      <c r="K8" s="8" t="s">
        <v>32</v>
      </c>
      <c r="L8" s="8" t="s">
        <v>39</v>
      </c>
      <c r="M8" s="22">
        <v>1419.79</v>
      </c>
      <c r="Q8" s="8" t="s">
        <v>32</v>
      </c>
      <c r="R8" s="8" t="s">
        <v>39</v>
      </c>
      <c r="S8" s="22">
        <v>619.91</v>
      </c>
      <c r="X8" s="8" t="s">
        <v>46</v>
      </c>
      <c r="Y8" s="8" t="s">
        <v>39</v>
      </c>
      <c r="Z8" s="22">
        <v>479.92</v>
      </c>
    </row>
    <row r="9" spans="1:26">
      <c r="L9" s="8" t="s">
        <v>25</v>
      </c>
      <c r="M9" s="22">
        <v>45728.800000000003</v>
      </c>
      <c r="R9" s="8" t="s">
        <v>25</v>
      </c>
      <c r="S9" s="22">
        <v>6899.83</v>
      </c>
      <c r="X9" s="8" t="s">
        <v>426</v>
      </c>
      <c r="Z9" s="22">
        <v>479.92</v>
      </c>
    </row>
    <row r="10" spans="1:26">
      <c r="A10" s="19"/>
      <c r="B10" s="19"/>
      <c r="C10" s="19"/>
      <c r="D10" s="19"/>
      <c r="L10" s="8" t="s">
        <v>52</v>
      </c>
      <c r="M10" s="22">
        <v>14299.369999999999</v>
      </c>
      <c r="R10" s="8" t="s">
        <v>52</v>
      </c>
      <c r="S10" s="22">
        <v>3349.8500000000004</v>
      </c>
      <c r="X10" s="8" t="s">
        <v>41</v>
      </c>
      <c r="Y10" s="8" t="s">
        <v>39</v>
      </c>
      <c r="Z10" s="22">
        <v>779.87</v>
      </c>
    </row>
    <row r="11" spans="1:26">
      <c r="K11" s="8" t="s">
        <v>427</v>
      </c>
      <c r="M11" s="22">
        <v>61447.960000000006</v>
      </c>
      <c r="Q11" s="8" t="s">
        <v>427</v>
      </c>
      <c r="S11" s="22">
        <v>10869.59</v>
      </c>
      <c r="X11" s="8" t="s">
        <v>428</v>
      </c>
      <c r="Z11" s="22">
        <v>779.87</v>
      </c>
    </row>
    <row r="12" spans="1:26">
      <c r="K12" s="8" t="s">
        <v>63</v>
      </c>
      <c r="L12" s="8" t="s">
        <v>39</v>
      </c>
      <c r="M12" s="22">
        <v>2699.5899999999997</v>
      </c>
      <c r="Q12" s="8" t="s">
        <v>63</v>
      </c>
      <c r="R12" s="8" t="s">
        <v>39</v>
      </c>
      <c r="S12" s="22">
        <v>879.86999999999989</v>
      </c>
      <c r="X12" s="8" t="s">
        <v>56</v>
      </c>
      <c r="Y12" s="8" t="s">
        <v>39</v>
      </c>
      <c r="Z12" s="22">
        <v>1799.7</v>
      </c>
    </row>
    <row r="13" spans="1:26">
      <c r="L13" s="8" t="s">
        <v>25</v>
      </c>
      <c r="M13" s="22">
        <v>40519.150000000009</v>
      </c>
      <c r="R13" s="8" t="s">
        <v>25</v>
      </c>
      <c r="S13" s="22">
        <v>4889.87</v>
      </c>
      <c r="X13" s="8" t="s">
        <v>429</v>
      </c>
      <c r="Z13" s="22">
        <v>1799.7</v>
      </c>
    </row>
    <row r="14" spans="1:26">
      <c r="L14" s="8" t="s">
        <v>52</v>
      </c>
      <c r="M14" s="22">
        <v>8899.57</v>
      </c>
      <c r="R14" s="8" t="s">
        <v>52</v>
      </c>
      <c r="S14" s="22">
        <v>2899.8900000000003</v>
      </c>
      <c r="W14" s="8" t="s">
        <v>430</v>
      </c>
      <c r="Z14" s="22">
        <v>5219.13</v>
      </c>
    </row>
    <row r="15" spans="1:26">
      <c r="K15" s="8" t="s">
        <v>431</v>
      </c>
      <c r="M15" s="22">
        <v>52118.310000000005</v>
      </c>
      <c r="Q15" s="8" t="s">
        <v>431</v>
      </c>
      <c r="S15" s="22">
        <v>8669.630000000001</v>
      </c>
      <c r="W15" s="8" t="s">
        <v>51</v>
      </c>
      <c r="X15" s="8" t="s">
        <v>27</v>
      </c>
      <c r="Y15" s="8" t="s">
        <v>52</v>
      </c>
      <c r="Z15" s="22">
        <v>4799.68</v>
      </c>
    </row>
    <row r="16" spans="1:26">
      <c r="K16" s="8" t="s">
        <v>40</v>
      </c>
      <c r="L16" s="8" t="s">
        <v>39</v>
      </c>
      <c r="M16" s="22">
        <v>979.84999999999991</v>
      </c>
      <c r="Q16" s="8" t="s">
        <v>40</v>
      </c>
      <c r="R16" s="8" t="s">
        <v>39</v>
      </c>
      <c r="S16" s="22">
        <v>79.989999999999995</v>
      </c>
      <c r="X16" s="8" t="s">
        <v>422</v>
      </c>
      <c r="Z16" s="22">
        <v>4799.68</v>
      </c>
    </row>
    <row r="17" spans="7:26">
      <c r="L17" s="8" t="s">
        <v>25</v>
      </c>
      <c r="M17" s="22">
        <v>49618.96</v>
      </c>
      <c r="R17" s="8" t="s">
        <v>25</v>
      </c>
      <c r="S17" s="22">
        <v>4799.84</v>
      </c>
      <c r="X17" s="8" t="s">
        <v>69</v>
      </c>
      <c r="Y17" s="8" t="s">
        <v>52</v>
      </c>
      <c r="Z17" s="22">
        <v>1799.88</v>
      </c>
    </row>
    <row r="18" spans="7:26">
      <c r="L18" s="8" t="s">
        <v>52</v>
      </c>
      <c r="M18" s="22">
        <v>7599.6</v>
      </c>
      <c r="R18" s="8" t="s">
        <v>52</v>
      </c>
      <c r="S18" s="22">
        <v>2949.8199999999997</v>
      </c>
      <c r="X18" s="8" t="s">
        <v>425</v>
      </c>
      <c r="Z18" s="22">
        <v>1799.88</v>
      </c>
    </row>
    <row r="19" spans="7:26">
      <c r="K19" s="8" t="s">
        <v>432</v>
      </c>
      <c r="M19" s="22">
        <v>58198.409999999996</v>
      </c>
      <c r="Q19" s="8" t="s">
        <v>432</v>
      </c>
      <c r="S19" s="22">
        <v>7829.65</v>
      </c>
      <c r="X19" s="8" t="s">
        <v>46</v>
      </c>
      <c r="Y19" s="8" t="s">
        <v>52</v>
      </c>
      <c r="Z19" s="22">
        <v>4949.67</v>
      </c>
    </row>
    <row r="20" spans="7:26">
      <c r="K20" s="8" t="s">
        <v>423</v>
      </c>
      <c r="M20" s="22">
        <v>229192.47</v>
      </c>
      <c r="P20" s="8" t="s">
        <v>422</v>
      </c>
      <c r="S20" s="22">
        <v>41288.339999999989</v>
      </c>
      <c r="X20" s="8" t="s">
        <v>426</v>
      </c>
      <c r="Z20" s="22">
        <v>4949.67</v>
      </c>
    </row>
    <row r="21" spans="7:26">
      <c r="P21" s="8" t="s">
        <v>69</v>
      </c>
      <c r="Q21" s="8" t="s">
        <v>26</v>
      </c>
      <c r="R21" s="8" t="s">
        <v>39</v>
      </c>
      <c r="S21" s="22">
        <v>479.93</v>
      </c>
      <c r="X21" s="8" t="s">
        <v>41</v>
      </c>
      <c r="Y21" s="8" t="s">
        <v>52</v>
      </c>
      <c r="Z21" s="22">
        <v>1349.91</v>
      </c>
    </row>
    <row r="22" spans="7:26">
      <c r="R22" s="8" t="s">
        <v>25</v>
      </c>
      <c r="S22" s="22">
        <v>10429.81</v>
      </c>
      <c r="X22" s="8" t="s">
        <v>428</v>
      </c>
      <c r="Z22" s="22">
        <v>1349.91</v>
      </c>
    </row>
    <row r="23" spans="7:26">
      <c r="G23" s="23"/>
      <c r="H23" s="23"/>
      <c r="I23" s="23"/>
      <c r="J23" s="23"/>
      <c r="R23" s="8" t="s">
        <v>52</v>
      </c>
      <c r="S23" s="22">
        <v>899.96</v>
      </c>
      <c r="X23" s="8" t="s">
        <v>56</v>
      </c>
      <c r="Y23" s="8" t="s">
        <v>52</v>
      </c>
      <c r="Z23" s="22">
        <v>2399.84</v>
      </c>
    </row>
    <row r="24" spans="7:26">
      <c r="Q24" s="8" t="s">
        <v>424</v>
      </c>
      <c r="S24" s="22">
        <v>11809.7</v>
      </c>
      <c r="X24" s="8" t="s">
        <v>429</v>
      </c>
      <c r="Z24" s="22">
        <v>2399.84</v>
      </c>
    </row>
    <row r="25" spans="7:26">
      <c r="Q25" s="8" t="s">
        <v>32</v>
      </c>
      <c r="R25" s="8" t="s">
        <v>25</v>
      </c>
      <c r="S25" s="22">
        <v>8749.77</v>
      </c>
      <c r="W25" s="8" t="s">
        <v>433</v>
      </c>
      <c r="Z25" s="22">
        <v>15298.98</v>
      </c>
    </row>
    <row r="26" spans="7:26">
      <c r="R26" s="8" t="s">
        <v>52</v>
      </c>
      <c r="S26" s="22">
        <v>1349.94</v>
      </c>
      <c r="W26" s="8" t="s">
        <v>121</v>
      </c>
      <c r="X26" s="8" t="s">
        <v>27</v>
      </c>
      <c r="Y26" s="8" t="s">
        <v>39</v>
      </c>
      <c r="Z26" s="22">
        <v>1039.8699999999999</v>
      </c>
    </row>
    <row r="27" spans="7:26">
      <c r="Q27" s="8" t="s">
        <v>427</v>
      </c>
      <c r="S27" s="22">
        <v>10099.710000000001</v>
      </c>
      <c r="X27" s="8" t="s">
        <v>422</v>
      </c>
      <c r="Z27" s="22">
        <v>1039.8699999999999</v>
      </c>
    </row>
    <row r="28" spans="7:26">
      <c r="Q28" s="8" t="s">
        <v>63</v>
      </c>
      <c r="R28" s="8" t="s">
        <v>39</v>
      </c>
      <c r="S28" s="22">
        <v>1339.8</v>
      </c>
      <c r="X28" s="8" t="s">
        <v>69</v>
      </c>
      <c r="Y28" s="8" t="s">
        <v>39</v>
      </c>
      <c r="Z28" s="22">
        <v>1039.8699999999999</v>
      </c>
    </row>
    <row r="29" spans="7:26">
      <c r="R29" s="8" t="s">
        <v>25</v>
      </c>
      <c r="S29" s="22">
        <v>14769.76</v>
      </c>
      <c r="X29" s="8" t="s">
        <v>425</v>
      </c>
      <c r="Z29" s="22">
        <v>1039.8699999999999</v>
      </c>
    </row>
    <row r="30" spans="7:26">
      <c r="R30" s="8" t="s">
        <v>52</v>
      </c>
      <c r="S30" s="22">
        <v>2049.9</v>
      </c>
      <c r="X30" s="8" t="s">
        <v>46</v>
      </c>
      <c r="Y30" s="8" t="s">
        <v>39</v>
      </c>
      <c r="Z30" s="22">
        <v>639.91999999999996</v>
      </c>
    </row>
    <row r="31" spans="7:26">
      <c r="Q31" s="8" t="s">
        <v>431</v>
      </c>
      <c r="S31" s="22">
        <v>18159.46</v>
      </c>
      <c r="X31" s="8" t="s">
        <v>426</v>
      </c>
      <c r="Z31" s="22">
        <v>639.91999999999996</v>
      </c>
    </row>
    <row r="32" spans="7:26">
      <c r="Q32" s="8" t="s">
        <v>40</v>
      </c>
      <c r="R32" s="8" t="s">
        <v>39</v>
      </c>
      <c r="S32" s="22">
        <v>419.94</v>
      </c>
      <c r="X32" s="8" t="s">
        <v>41</v>
      </c>
      <c r="Y32" s="8" t="s">
        <v>39</v>
      </c>
      <c r="Z32" s="22">
        <v>319.95999999999998</v>
      </c>
    </row>
    <row r="33" spans="16:26">
      <c r="R33" s="8" t="s">
        <v>25</v>
      </c>
      <c r="S33" s="22">
        <v>16699.670000000002</v>
      </c>
      <c r="X33" s="8" t="s">
        <v>428</v>
      </c>
      <c r="Z33" s="22">
        <v>319.95999999999998</v>
      </c>
    </row>
    <row r="34" spans="16:26">
      <c r="R34" s="8" t="s">
        <v>52</v>
      </c>
      <c r="S34" s="22">
        <v>2099.91</v>
      </c>
      <c r="X34" s="8" t="s">
        <v>56</v>
      </c>
      <c r="Y34" s="8" t="s">
        <v>39</v>
      </c>
      <c r="Z34" s="22">
        <v>79.989999999999995</v>
      </c>
    </row>
    <row r="35" spans="16:26">
      <c r="Q35" s="8" t="s">
        <v>432</v>
      </c>
      <c r="S35" s="22">
        <v>19219.52</v>
      </c>
      <c r="X35" s="8" t="s">
        <v>429</v>
      </c>
      <c r="Z35" s="22">
        <v>79.989999999999995</v>
      </c>
    </row>
    <row r="36" spans="16:26">
      <c r="P36" s="8" t="s">
        <v>425</v>
      </c>
      <c r="S36" s="22">
        <v>59288.390000000014</v>
      </c>
      <c r="W36" s="8" t="s">
        <v>434</v>
      </c>
      <c r="Z36" s="22">
        <v>3119.6099999999997</v>
      </c>
    </row>
    <row r="37" spans="16:26">
      <c r="P37" s="8" t="s">
        <v>46</v>
      </c>
      <c r="Q37" s="8" t="s">
        <v>26</v>
      </c>
      <c r="R37" s="8" t="s">
        <v>39</v>
      </c>
      <c r="S37" s="22">
        <v>699.9</v>
      </c>
      <c r="W37" s="8" t="s">
        <v>112</v>
      </c>
      <c r="X37" s="8" t="s">
        <v>27</v>
      </c>
      <c r="Y37" s="8" t="s">
        <v>52</v>
      </c>
      <c r="Z37" s="22">
        <v>5999.8</v>
      </c>
    </row>
    <row r="38" spans="16:26">
      <c r="R38" s="8" t="s">
        <v>25</v>
      </c>
      <c r="S38" s="22">
        <v>12139.689999999999</v>
      </c>
      <c r="X38" s="8" t="s">
        <v>422</v>
      </c>
      <c r="Z38" s="22">
        <v>5999.8</v>
      </c>
    </row>
    <row r="39" spans="16:26">
      <c r="R39" s="8" t="s">
        <v>52</v>
      </c>
      <c r="S39" s="22">
        <v>3999.7799999999997</v>
      </c>
      <c r="X39" s="8" t="s">
        <v>69</v>
      </c>
      <c r="Y39" s="8" t="s">
        <v>52</v>
      </c>
      <c r="Z39" s="22">
        <v>3599.88</v>
      </c>
    </row>
    <row r="40" spans="16:26">
      <c r="Q40" s="8" t="s">
        <v>424</v>
      </c>
      <c r="S40" s="22">
        <v>16839.37</v>
      </c>
      <c r="X40" s="8" t="s">
        <v>425</v>
      </c>
      <c r="Z40" s="22">
        <v>3599.88</v>
      </c>
    </row>
    <row r="41" spans="16:26">
      <c r="Q41" s="8" t="s">
        <v>32</v>
      </c>
      <c r="R41" s="8" t="s">
        <v>39</v>
      </c>
      <c r="S41" s="22">
        <v>419.94</v>
      </c>
      <c r="X41" s="8" t="s">
        <v>46</v>
      </c>
      <c r="Y41" s="8" t="s">
        <v>52</v>
      </c>
      <c r="Z41" s="22">
        <v>2099.9300000000003</v>
      </c>
    </row>
    <row r="42" spans="16:26">
      <c r="R42" s="8" t="s">
        <v>25</v>
      </c>
      <c r="S42" s="22">
        <v>12779.649999999998</v>
      </c>
      <c r="X42" s="8" t="s">
        <v>426</v>
      </c>
      <c r="Z42" s="22">
        <v>2099.9300000000003</v>
      </c>
    </row>
    <row r="43" spans="16:26">
      <c r="R43" s="8" t="s">
        <v>52</v>
      </c>
      <c r="S43" s="22">
        <v>3449.8500000000004</v>
      </c>
      <c r="X43" s="8" t="s">
        <v>41</v>
      </c>
      <c r="Y43" s="8" t="s">
        <v>52</v>
      </c>
      <c r="Z43" s="22">
        <v>6599.7800000000007</v>
      </c>
    </row>
    <row r="44" spans="16:26">
      <c r="Q44" s="8" t="s">
        <v>427</v>
      </c>
      <c r="S44" s="22">
        <v>16649.439999999999</v>
      </c>
      <c r="X44" s="8" t="s">
        <v>428</v>
      </c>
      <c r="Z44" s="22">
        <v>6599.7800000000007</v>
      </c>
    </row>
    <row r="45" spans="16:26">
      <c r="Q45" s="8" t="s">
        <v>63</v>
      </c>
      <c r="R45" s="8" t="s">
        <v>25</v>
      </c>
      <c r="S45" s="22">
        <v>4569.87</v>
      </c>
      <c r="X45" s="8" t="s">
        <v>56</v>
      </c>
      <c r="Y45" s="8" t="s">
        <v>52</v>
      </c>
      <c r="Z45" s="22">
        <v>5099.83</v>
      </c>
    </row>
    <row r="46" spans="16:26">
      <c r="R46" s="8" t="s">
        <v>52</v>
      </c>
      <c r="S46" s="22">
        <v>2249.8500000000004</v>
      </c>
      <c r="X46" s="8" t="s">
        <v>429</v>
      </c>
      <c r="Z46" s="22">
        <v>5099.83</v>
      </c>
    </row>
    <row r="47" spans="16:26">
      <c r="Q47" s="8" t="s">
        <v>431</v>
      </c>
      <c r="S47" s="22">
        <v>6819.72</v>
      </c>
      <c r="W47" s="8" t="s">
        <v>435</v>
      </c>
      <c r="Z47" s="22">
        <v>23399.22</v>
      </c>
    </row>
    <row r="48" spans="16:26">
      <c r="Q48" s="8" t="s">
        <v>40</v>
      </c>
      <c r="R48" s="8" t="s">
        <v>25</v>
      </c>
      <c r="S48" s="22">
        <v>9749.8299999999981</v>
      </c>
      <c r="W48" s="8" t="s">
        <v>59</v>
      </c>
      <c r="X48" s="8" t="s">
        <v>27</v>
      </c>
      <c r="Y48" s="8" t="s">
        <v>25</v>
      </c>
      <c r="Z48" s="22">
        <v>1199.92</v>
      </c>
    </row>
    <row r="49" spans="16:26">
      <c r="R49" s="8" t="s">
        <v>52</v>
      </c>
      <c r="S49" s="22">
        <v>749.95</v>
      </c>
      <c r="X49" s="8" t="s">
        <v>422</v>
      </c>
      <c r="Z49" s="22">
        <v>1199.92</v>
      </c>
    </row>
    <row r="50" spans="16:26">
      <c r="Q50" s="8" t="s">
        <v>432</v>
      </c>
      <c r="S50" s="22">
        <v>10499.779999999999</v>
      </c>
      <c r="X50" s="8" t="s">
        <v>69</v>
      </c>
      <c r="Y50" s="8" t="s">
        <v>25</v>
      </c>
      <c r="Z50" s="22">
        <v>1949.8700000000001</v>
      </c>
    </row>
    <row r="51" spans="16:26">
      <c r="P51" s="8" t="s">
        <v>426</v>
      </c>
      <c r="S51" s="22">
        <v>50808.31</v>
      </c>
      <c r="X51" s="8" t="s">
        <v>425</v>
      </c>
      <c r="Z51" s="22">
        <v>1949.8700000000001</v>
      </c>
    </row>
    <row r="52" spans="16:26">
      <c r="P52" s="8" t="s">
        <v>41</v>
      </c>
      <c r="Q52" s="8" t="s">
        <v>26</v>
      </c>
      <c r="R52" s="8" t="s">
        <v>39</v>
      </c>
      <c r="S52" s="22">
        <v>479.93</v>
      </c>
      <c r="X52" s="8" t="s">
        <v>46</v>
      </c>
      <c r="Y52" s="8" t="s">
        <v>25</v>
      </c>
      <c r="Z52" s="22">
        <v>1949.8700000000001</v>
      </c>
    </row>
    <row r="53" spans="16:26">
      <c r="R53" s="8" t="s">
        <v>25</v>
      </c>
      <c r="S53" s="22">
        <v>889.95</v>
      </c>
      <c r="X53" s="8" t="s">
        <v>426</v>
      </c>
      <c r="Z53" s="22">
        <v>1949.8700000000001</v>
      </c>
    </row>
    <row r="54" spans="16:26">
      <c r="R54" s="8" t="s">
        <v>52</v>
      </c>
      <c r="S54" s="22">
        <v>3999.82</v>
      </c>
      <c r="X54" s="8" t="s">
        <v>41</v>
      </c>
      <c r="Y54" s="8" t="s">
        <v>25</v>
      </c>
      <c r="Z54" s="22">
        <v>899.94</v>
      </c>
    </row>
    <row r="55" spans="16:26">
      <c r="Q55" s="8" t="s">
        <v>424</v>
      </c>
      <c r="S55" s="22">
        <v>5369.7000000000007</v>
      </c>
      <c r="X55" s="8" t="s">
        <v>428</v>
      </c>
      <c r="Z55" s="22">
        <v>899.94</v>
      </c>
    </row>
    <row r="56" spans="16:26">
      <c r="Q56" s="8" t="s">
        <v>32</v>
      </c>
      <c r="R56" s="8" t="s">
        <v>39</v>
      </c>
      <c r="S56" s="22">
        <v>79.989999999999995</v>
      </c>
      <c r="X56" s="8" t="s">
        <v>56</v>
      </c>
      <c r="Y56" s="8" t="s">
        <v>25</v>
      </c>
      <c r="Z56" s="22">
        <v>1049.93</v>
      </c>
    </row>
    <row r="57" spans="16:26">
      <c r="R57" s="8" t="s">
        <v>25</v>
      </c>
      <c r="S57" s="22">
        <v>7719.7699999999986</v>
      </c>
      <c r="X57" s="8" t="s">
        <v>429</v>
      </c>
      <c r="Z57" s="22">
        <v>1049.93</v>
      </c>
    </row>
    <row r="58" spans="16:26">
      <c r="R58" s="8" t="s">
        <v>52</v>
      </c>
      <c r="S58" s="22">
        <v>3749.8599999999997</v>
      </c>
      <c r="W58" s="8" t="s">
        <v>436</v>
      </c>
      <c r="Z58" s="22">
        <v>7049.5300000000007</v>
      </c>
    </row>
    <row r="59" spans="16:26">
      <c r="Q59" s="8" t="s">
        <v>427</v>
      </c>
      <c r="S59" s="22">
        <v>11549.619999999999</v>
      </c>
      <c r="W59" s="8" t="s">
        <v>124</v>
      </c>
      <c r="X59" s="8" t="s">
        <v>27</v>
      </c>
      <c r="Y59" s="8" t="s">
        <v>25</v>
      </c>
      <c r="Z59" s="22">
        <v>1439.8400000000001</v>
      </c>
    </row>
    <row r="60" spans="16:26">
      <c r="Q60" s="8" t="s">
        <v>63</v>
      </c>
      <c r="R60" s="8" t="s">
        <v>39</v>
      </c>
      <c r="S60" s="22">
        <v>359.94</v>
      </c>
      <c r="X60" s="8" t="s">
        <v>422</v>
      </c>
      <c r="Z60" s="22">
        <v>1439.8400000000001</v>
      </c>
    </row>
    <row r="61" spans="16:26">
      <c r="R61" s="8" t="s">
        <v>25</v>
      </c>
      <c r="S61" s="22">
        <v>9509.779999999997</v>
      </c>
      <c r="X61" s="8" t="s">
        <v>69</v>
      </c>
      <c r="Y61" s="8" t="s">
        <v>25</v>
      </c>
      <c r="Z61" s="22">
        <v>1349.85</v>
      </c>
    </row>
    <row r="62" spans="16:26">
      <c r="R62" s="8" t="s">
        <v>52</v>
      </c>
      <c r="S62" s="22">
        <v>799.96</v>
      </c>
      <c r="X62" s="8" t="s">
        <v>425</v>
      </c>
      <c r="Z62" s="22">
        <v>1349.85</v>
      </c>
    </row>
    <row r="63" spans="16:26">
      <c r="Q63" s="8" t="s">
        <v>431</v>
      </c>
      <c r="S63" s="22">
        <v>10669.679999999997</v>
      </c>
      <c r="X63" s="8" t="s">
        <v>46</v>
      </c>
      <c r="Y63" s="8" t="s">
        <v>25</v>
      </c>
      <c r="Z63" s="22">
        <v>1889.79</v>
      </c>
    </row>
    <row r="64" spans="16:26">
      <c r="Q64" s="8" t="s">
        <v>40</v>
      </c>
      <c r="R64" s="8" t="s">
        <v>39</v>
      </c>
      <c r="S64" s="22">
        <v>179.97</v>
      </c>
      <c r="X64" s="8" t="s">
        <v>426</v>
      </c>
      <c r="Z64" s="22">
        <v>1889.79</v>
      </c>
    </row>
    <row r="65" spans="16:26">
      <c r="R65" s="8" t="s">
        <v>25</v>
      </c>
      <c r="S65" s="22">
        <v>7429.82</v>
      </c>
      <c r="X65" s="8" t="s">
        <v>41</v>
      </c>
      <c r="Y65" s="8" t="s">
        <v>25</v>
      </c>
      <c r="Z65" s="22">
        <v>2249.75</v>
      </c>
    </row>
    <row r="66" spans="16:26">
      <c r="R66" s="8" t="s">
        <v>52</v>
      </c>
      <c r="S66" s="22">
        <v>1199.96</v>
      </c>
      <c r="X66" s="8" t="s">
        <v>428</v>
      </c>
      <c r="Z66" s="22">
        <v>2249.75</v>
      </c>
    </row>
    <row r="67" spans="16:26">
      <c r="Q67" s="8" t="s">
        <v>432</v>
      </c>
      <c r="S67" s="22">
        <v>8809.75</v>
      </c>
      <c r="X67" s="8" t="s">
        <v>56</v>
      </c>
      <c r="Y67" s="8" t="s">
        <v>25</v>
      </c>
      <c r="Z67" s="22">
        <v>1079.8799999999999</v>
      </c>
    </row>
    <row r="68" spans="16:26">
      <c r="P68" s="8" t="s">
        <v>428</v>
      </c>
      <c r="S68" s="22">
        <v>36398.749999999993</v>
      </c>
      <c r="X68" s="8" t="s">
        <v>429</v>
      </c>
      <c r="Z68" s="22">
        <v>1079.8799999999999</v>
      </c>
    </row>
    <row r="69" spans="16:26">
      <c r="P69" s="8" t="s">
        <v>56</v>
      </c>
      <c r="Q69" s="8" t="s">
        <v>26</v>
      </c>
      <c r="R69" s="8" t="s">
        <v>39</v>
      </c>
      <c r="S69" s="22">
        <v>1159.81</v>
      </c>
      <c r="W69" s="8" t="s">
        <v>437</v>
      </c>
      <c r="Z69" s="22">
        <v>8009.11</v>
      </c>
    </row>
    <row r="70" spans="16:26">
      <c r="R70" s="8" t="s">
        <v>25</v>
      </c>
      <c r="S70" s="22">
        <v>4129.8999999999996</v>
      </c>
      <c r="W70" s="8" t="s">
        <v>68</v>
      </c>
      <c r="X70" s="8" t="s">
        <v>27</v>
      </c>
      <c r="Y70" s="8" t="s">
        <v>25</v>
      </c>
      <c r="Z70" s="22">
        <v>7199.92</v>
      </c>
    </row>
    <row r="71" spans="16:26">
      <c r="R71" s="8" t="s">
        <v>52</v>
      </c>
      <c r="S71" s="22">
        <v>4199.84</v>
      </c>
      <c r="X71" s="8" t="s">
        <v>422</v>
      </c>
      <c r="Z71" s="22">
        <v>7199.92</v>
      </c>
    </row>
    <row r="72" spans="16:26">
      <c r="Q72" s="8" t="s">
        <v>424</v>
      </c>
      <c r="S72" s="22">
        <v>9489.5499999999993</v>
      </c>
      <c r="X72" s="8" t="s">
        <v>69</v>
      </c>
      <c r="Y72" s="8" t="s">
        <v>25</v>
      </c>
      <c r="Z72" s="22">
        <v>27899.690000000002</v>
      </c>
    </row>
    <row r="73" spans="16:26">
      <c r="Q73" s="8" t="s">
        <v>32</v>
      </c>
      <c r="R73" s="8" t="s">
        <v>39</v>
      </c>
      <c r="S73" s="22">
        <v>299.95</v>
      </c>
      <c r="X73" s="8" t="s">
        <v>425</v>
      </c>
      <c r="Z73" s="22">
        <v>27899.690000000002</v>
      </c>
    </row>
    <row r="74" spans="16:26">
      <c r="R74" s="8" t="s">
        <v>25</v>
      </c>
      <c r="S74" s="22">
        <v>9579.7799999999988</v>
      </c>
      <c r="X74" s="8" t="s">
        <v>46</v>
      </c>
      <c r="Y74" s="8" t="s">
        <v>25</v>
      </c>
      <c r="Z74" s="22">
        <v>12599.859999999999</v>
      </c>
    </row>
    <row r="75" spans="16:26">
      <c r="R75" s="8" t="s">
        <v>52</v>
      </c>
      <c r="S75" s="22">
        <v>2399.87</v>
      </c>
      <c r="X75" s="8" t="s">
        <v>426</v>
      </c>
      <c r="Z75" s="22">
        <v>12599.859999999999</v>
      </c>
    </row>
    <row r="76" spans="16:26">
      <c r="Q76" s="8" t="s">
        <v>427</v>
      </c>
      <c r="S76" s="22">
        <v>12279.599999999999</v>
      </c>
      <c r="X76" s="8" t="s">
        <v>41</v>
      </c>
      <c r="Y76" s="8" t="s">
        <v>25</v>
      </c>
      <c r="Z76" s="22">
        <v>12599.86</v>
      </c>
    </row>
    <row r="77" spans="16:26">
      <c r="Q77" s="8" t="s">
        <v>63</v>
      </c>
      <c r="R77" s="8" t="s">
        <v>39</v>
      </c>
      <c r="S77" s="22">
        <v>119.98</v>
      </c>
      <c r="X77" s="8" t="s">
        <v>428</v>
      </c>
      <c r="Z77" s="22">
        <v>12599.86</v>
      </c>
    </row>
    <row r="78" spans="16:26">
      <c r="R78" s="8" t="s">
        <v>25</v>
      </c>
      <c r="S78" s="22">
        <v>6779.869999999999</v>
      </c>
      <c r="X78" s="8" t="s">
        <v>56</v>
      </c>
      <c r="Y78" s="8" t="s">
        <v>25</v>
      </c>
      <c r="Z78" s="22">
        <v>7199.92</v>
      </c>
    </row>
    <row r="79" spans="16:26">
      <c r="R79" s="8" t="s">
        <v>52</v>
      </c>
      <c r="S79" s="22">
        <v>899.97</v>
      </c>
      <c r="X79" s="8" t="s">
        <v>429</v>
      </c>
      <c r="Z79" s="22">
        <v>7199.92</v>
      </c>
    </row>
    <row r="80" spans="16:26">
      <c r="Q80" s="8" t="s">
        <v>431</v>
      </c>
      <c r="S80" s="22">
        <v>7799.8199999999988</v>
      </c>
      <c r="W80" s="8" t="s">
        <v>438</v>
      </c>
      <c r="Z80" s="22">
        <v>67499.25</v>
      </c>
    </row>
    <row r="81" spans="16:26">
      <c r="Q81" s="8" t="s">
        <v>40</v>
      </c>
      <c r="R81" s="8" t="s">
        <v>39</v>
      </c>
      <c r="S81" s="22">
        <v>299.95</v>
      </c>
      <c r="W81" s="8" t="s">
        <v>24</v>
      </c>
      <c r="X81" s="8" t="s">
        <v>27</v>
      </c>
      <c r="Y81" s="8" t="s">
        <v>25</v>
      </c>
      <c r="Z81" s="22">
        <v>5249.79</v>
      </c>
    </row>
    <row r="82" spans="16:26">
      <c r="R82" s="8" t="s">
        <v>25</v>
      </c>
      <c r="S82" s="22">
        <v>10939.8</v>
      </c>
      <c r="X82" s="8" t="s">
        <v>422</v>
      </c>
      <c r="Z82" s="22">
        <v>5249.79</v>
      </c>
    </row>
    <row r="83" spans="16:26">
      <c r="R83" s="8" t="s">
        <v>52</v>
      </c>
      <c r="S83" s="22">
        <v>599.96</v>
      </c>
      <c r="X83" s="8" t="s">
        <v>69</v>
      </c>
      <c r="Y83" s="8" t="s">
        <v>25</v>
      </c>
      <c r="Z83" s="22">
        <v>4749.8100000000004</v>
      </c>
    </row>
    <row r="84" spans="16:26">
      <c r="Q84" s="8" t="s">
        <v>432</v>
      </c>
      <c r="S84" s="22">
        <v>11839.71</v>
      </c>
      <c r="X84" s="8" t="s">
        <v>425</v>
      </c>
      <c r="Z84" s="22">
        <v>4749.8100000000004</v>
      </c>
    </row>
    <row r="85" spans="16:26">
      <c r="P85" s="8" t="s">
        <v>429</v>
      </c>
      <c r="S85" s="22">
        <v>41408.68</v>
      </c>
      <c r="X85" s="8" t="s">
        <v>46</v>
      </c>
      <c r="Y85" s="8" t="s">
        <v>25</v>
      </c>
      <c r="Z85" s="22">
        <v>5999.7599999999993</v>
      </c>
    </row>
    <row r="86" spans="16:26">
      <c r="P86" s="8" t="s">
        <v>423</v>
      </c>
      <c r="S86" s="22">
        <v>229192.46999999994</v>
      </c>
      <c r="X86" s="8" t="s">
        <v>426</v>
      </c>
      <c r="Z86" s="22">
        <v>5999.7599999999993</v>
      </c>
    </row>
    <row r="87" spans="16:26">
      <c r="X87" s="8" t="s">
        <v>41</v>
      </c>
      <c r="Y87" s="8" t="s">
        <v>25</v>
      </c>
      <c r="Z87" s="22">
        <v>3499.8599999999997</v>
      </c>
    </row>
    <row r="88" spans="16:26">
      <c r="X88" s="8" t="s">
        <v>428</v>
      </c>
      <c r="Z88" s="22">
        <v>3499.8599999999997</v>
      </c>
    </row>
    <row r="89" spans="16:26">
      <c r="X89" s="8" t="s">
        <v>56</v>
      </c>
      <c r="Y89" s="8" t="s">
        <v>25</v>
      </c>
      <c r="Z89" s="22">
        <v>2499.9</v>
      </c>
    </row>
    <row r="90" spans="16:26">
      <c r="X90" s="8" t="s">
        <v>429</v>
      </c>
      <c r="Z90" s="22">
        <v>2499.9</v>
      </c>
    </row>
    <row r="91" spans="16:26">
      <c r="W91" s="8" t="s">
        <v>439</v>
      </c>
      <c r="Z91" s="22">
        <v>21999.120000000003</v>
      </c>
    </row>
    <row r="92" spans="16:26">
      <c r="W92" s="8" t="s">
        <v>133</v>
      </c>
      <c r="X92" s="8" t="s">
        <v>27</v>
      </c>
      <c r="Y92" s="8" t="s">
        <v>52</v>
      </c>
      <c r="Z92" s="22">
        <v>3599.82</v>
      </c>
    </row>
    <row r="93" spans="16:26">
      <c r="X93" s="8" t="s">
        <v>422</v>
      </c>
      <c r="Z93" s="22">
        <v>3599.82</v>
      </c>
    </row>
    <row r="94" spans="16:26">
      <c r="X94" s="8" t="s">
        <v>69</v>
      </c>
      <c r="Y94" s="8" t="s">
        <v>52</v>
      </c>
      <c r="Z94" s="22">
        <v>999.95</v>
      </c>
    </row>
    <row r="95" spans="16:26">
      <c r="X95" s="8" t="s">
        <v>425</v>
      </c>
      <c r="Z95" s="22">
        <v>999.95</v>
      </c>
    </row>
    <row r="96" spans="16:26">
      <c r="X96" s="8" t="s">
        <v>46</v>
      </c>
      <c r="Y96" s="8" t="s">
        <v>52</v>
      </c>
      <c r="Z96" s="22">
        <v>3399.83</v>
      </c>
    </row>
    <row r="97" spans="23:26">
      <c r="X97" s="8" t="s">
        <v>426</v>
      </c>
      <c r="Z97" s="22">
        <v>3399.83</v>
      </c>
    </row>
    <row r="98" spans="23:26">
      <c r="X98" s="8" t="s">
        <v>41</v>
      </c>
      <c r="Y98" s="8" t="s">
        <v>52</v>
      </c>
      <c r="Z98" s="22">
        <v>1799.91</v>
      </c>
    </row>
    <row r="99" spans="23:26">
      <c r="X99" s="8" t="s">
        <v>428</v>
      </c>
      <c r="Z99" s="22">
        <v>1799.91</v>
      </c>
    </row>
    <row r="100" spans="23:26">
      <c r="X100" s="8" t="s">
        <v>56</v>
      </c>
      <c r="Y100" s="8" t="s">
        <v>52</v>
      </c>
      <c r="Z100" s="22">
        <v>599.97</v>
      </c>
    </row>
    <row r="101" spans="23:26">
      <c r="X101" s="8" t="s">
        <v>429</v>
      </c>
      <c r="Z101" s="22">
        <v>599.97</v>
      </c>
    </row>
    <row r="102" spans="23:26">
      <c r="W102" s="8" t="s">
        <v>440</v>
      </c>
      <c r="Z102" s="22">
        <v>10399.48</v>
      </c>
    </row>
    <row r="103" spans="23:26">
      <c r="W103" s="8" t="s">
        <v>87</v>
      </c>
      <c r="X103" s="8" t="s">
        <v>27</v>
      </c>
      <c r="Y103" s="8" t="s">
        <v>25</v>
      </c>
      <c r="Z103" s="22">
        <v>9799.8599999999988</v>
      </c>
    </row>
    <row r="104" spans="23:26">
      <c r="X104" s="8" t="s">
        <v>422</v>
      </c>
      <c r="Z104" s="22">
        <v>9799.8599999999988</v>
      </c>
    </row>
    <row r="105" spans="23:26">
      <c r="X105" s="8" t="s">
        <v>69</v>
      </c>
      <c r="Y105" s="8" t="s">
        <v>25</v>
      </c>
      <c r="Z105" s="22">
        <v>14699.79</v>
      </c>
    </row>
    <row r="106" spans="23:26">
      <c r="X106" s="8" t="s">
        <v>425</v>
      </c>
      <c r="Z106" s="22">
        <v>14699.79</v>
      </c>
    </row>
    <row r="107" spans="23:26">
      <c r="X107" s="8" t="s">
        <v>46</v>
      </c>
      <c r="Y107" s="8" t="s">
        <v>25</v>
      </c>
      <c r="Z107" s="22">
        <v>16799.759999999998</v>
      </c>
    </row>
    <row r="108" spans="23:26">
      <c r="X108" s="8" t="s">
        <v>426</v>
      </c>
      <c r="Z108" s="22">
        <v>16799.759999999998</v>
      </c>
    </row>
    <row r="109" spans="23:26">
      <c r="X109" s="8" t="s">
        <v>41</v>
      </c>
      <c r="Y109" s="8" t="s">
        <v>25</v>
      </c>
      <c r="Z109" s="22">
        <v>6299.91</v>
      </c>
    </row>
    <row r="110" spans="23:26">
      <c r="X110" s="8" t="s">
        <v>428</v>
      </c>
      <c r="Z110" s="22">
        <v>6299.91</v>
      </c>
    </row>
    <row r="111" spans="23:26">
      <c r="X111" s="8" t="s">
        <v>56</v>
      </c>
      <c r="Y111" s="8" t="s">
        <v>25</v>
      </c>
      <c r="Z111" s="22">
        <v>19599.719999999998</v>
      </c>
    </row>
    <row r="112" spans="23:26">
      <c r="X112" s="8" t="s">
        <v>429</v>
      </c>
      <c r="Z112" s="22">
        <v>19599.719999999998</v>
      </c>
    </row>
    <row r="113" spans="23:26">
      <c r="W113" s="8" t="s">
        <v>441</v>
      </c>
      <c r="Z113" s="22">
        <v>67199.040000000008</v>
      </c>
    </row>
    <row r="114" spans="23:26">
      <c r="W114" s="8" t="s">
        <v>423</v>
      </c>
      <c r="Z114" s="22">
        <v>229192.47</v>
      </c>
    </row>
  </sheetData>
  <mergeCells count="7">
    <mergeCell ref="W2:Z2"/>
    <mergeCell ref="A2:B2"/>
    <mergeCell ref="F2:G2"/>
    <mergeCell ref="K2:M2"/>
    <mergeCell ref="A10:D10"/>
    <mergeCell ref="G23:J23"/>
    <mergeCell ref="P2:S2"/>
  </mergeCell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2026-10-17T03:55:49Z</dcterms:created>
  <dcterms:modified xsi:type="dcterms:W3CDTF">2026-10-17T05:35:42Z</dcterms:modified>
  <cp:category/>
  <cp:contentStatus/>
</cp:coreProperties>
</file>